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leonardo_sousa_sptech_school/Documents/Sprint2 - Grupo 6 - Minas Artesanal/Sprint2/"/>
    </mc:Choice>
  </mc:AlternateContent>
  <xr:revisionPtr revIDLastSave="1374" documentId="13_ncr:1_{ED8BC6F1-D71C-4752-A75A-12A81A9E9472}" xr6:coauthVersionLast="47" xr6:coauthVersionMax="47" xr10:uidLastSave="{BC5B02E4-5CC5-4632-AED4-269D29F8A5D7}"/>
  <bookViews>
    <workbookView xWindow="-120" yWindow="-120" windowWidth="29040" windowHeight="15720" firstSheet="1" activeTab="1" xr2:uid="{00000000-000D-0000-FFFF-FFFF00000000}"/>
  </bookViews>
  <sheets>
    <sheet name="Product Backlog" sheetId="1" r:id="rId1"/>
    <sheet name="SPRINT 2 BackLog" sheetId="3" r:id="rId2"/>
    <sheet name="SPRINT 3 BackLog" sheetId="4" r:id="rId3"/>
    <sheet name="BURNDOWN" sheetId="2" r:id="rId4"/>
  </sheets>
  <definedNames>
    <definedName name="_xlnm._FilterDatabase" localSheetId="0" hidden="1">'Product Backlog'!#REF!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E25" i="3"/>
  <c r="H85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2" i="3"/>
  <c r="H86" i="1"/>
  <c r="H87" i="1"/>
  <c r="H88" i="1"/>
  <c r="H89" i="1"/>
  <c r="H90" i="1"/>
  <c r="H91" i="1"/>
  <c r="H92" i="1"/>
  <c r="H93" i="1"/>
  <c r="E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E3" i="2" l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</calcChain>
</file>

<file path=xl/sharedStrings.xml><?xml version="1.0" encoding="utf-8"?>
<sst xmlns="http://schemas.openxmlformats.org/spreadsheetml/2006/main" count="892" uniqueCount="259">
  <si>
    <t>TIPO</t>
  </si>
  <si>
    <t>Requisito</t>
  </si>
  <si>
    <t>Descrição</t>
  </si>
  <si>
    <t>Classificação</t>
  </si>
  <si>
    <t>Sprint</t>
  </si>
  <si>
    <t>Prioridade</t>
  </si>
  <si>
    <t>Complexidade</t>
  </si>
  <si>
    <t>Pontos</t>
  </si>
  <si>
    <t>RF1</t>
  </si>
  <si>
    <t>Tela inicial</t>
  </si>
  <si>
    <t>Página inicial do site institucional da VigLat.</t>
  </si>
  <si>
    <t>Essencial</t>
  </si>
  <si>
    <t>Sprint 1</t>
  </si>
  <si>
    <t>M</t>
  </si>
  <si>
    <t>RF4.2</t>
  </si>
  <si>
    <t>Permitir redefinição da senha</t>
  </si>
  <si>
    <t>Redefinir senha após validação do fluxo de recuperação.</t>
  </si>
  <si>
    <t>Desejável</t>
  </si>
  <si>
    <t>GG</t>
  </si>
  <si>
    <t>RF6.1</t>
  </si>
  <si>
    <t>Salvar temperatura no banco</t>
  </si>
  <si>
    <t>Armazenar cada leitura de temperatura recebida.</t>
  </si>
  <si>
    <t>P</t>
  </si>
  <si>
    <t>RF7.4</t>
  </si>
  <si>
    <t>Exibir status da câmara</t>
  </si>
  <si>
    <t>Mostrar se a condição está adequada, acima ou abaixo do ideal.</t>
  </si>
  <si>
    <t>Importante</t>
  </si>
  <si>
    <t>RF10.2</t>
  </si>
  <si>
    <t>Gerar alerta de temperatura</t>
  </si>
  <si>
    <t>Emitir alerta quando a temperatura estiver fora do padrão.</t>
  </si>
  <si>
    <t>G</t>
  </si>
  <si>
    <t>RNF1.1</t>
  </si>
  <si>
    <t>Restringir acesso por autenticação</t>
  </si>
  <si>
    <t>Garantir que apenas usuários autenticados acessem dados sensíveis.</t>
  </si>
  <si>
    <t>RNF4</t>
  </si>
  <si>
    <t>Interface intuitiva e clara</t>
  </si>
  <si>
    <t>A interface deve ser simples para produtores artesanais.</t>
  </si>
  <si>
    <t>RF1.1</t>
  </si>
  <si>
    <t>Apresentar proposta da VigLat</t>
  </si>
  <si>
    <t>Exibir objetivo da solução e o problema enfrentado pelo produtor de QMA na fase de maturação.</t>
  </si>
  <si>
    <t>Sprint 2</t>
  </si>
  <si>
    <t>RF5.1</t>
  </si>
  <si>
    <t>Coletar temperatura</t>
  </si>
  <si>
    <t>Capturar valores de temperatura pelo sensor acoplado ao Arduino.</t>
  </si>
  <si>
    <t>RF6.3</t>
  </si>
  <si>
    <t>Salvar data e hora da leitura</t>
  </si>
  <si>
    <t>Registrar timestamp para auditoria e histórico.</t>
  </si>
  <si>
    <t>RF6.4</t>
  </si>
  <si>
    <t>Relacionar leitura à câmara/sensor</t>
  </si>
  <si>
    <t>Associar cada coleta ao sensor e à câmara monitorada.</t>
  </si>
  <si>
    <t>RF7.3</t>
  </si>
  <si>
    <t>Exibir última atualização</t>
  </si>
  <si>
    <t>Mostrar data e hora da última leitura recebida.</t>
  </si>
  <si>
    <t>RF10</t>
  </si>
  <si>
    <t>Emitir alertas para variações críticas</t>
  </si>
  <si>
    <t>Avisar quando os parâmetros estiverem fora do ideal.</t>
  </si>
  <si>
    <t>RF13</t>
  </si>
  <si>
    <t>Configurar parâmetros ideais</t>
  </si>
  <si>
    <t>Permitir ajuste das condições ideais da câmara.</t>
  </si>
  <si>
    <t>RNF4.1</t>
  </si>
  <si>
    <t>Apresentar indicadores visuais compreensíveis</t>
  </si>
  <si>
    <t>Usar status, cores e organização visual que facilitem interpretação.</t>
  </si>
  <si>
    <t>PP</t>
  </si>
  <si>
    <t>RNF6.1</t>
  </si>
  <si>
    <t>Processar leituras recebidas</t>
  </si>
  <si>
    <t>Analisar leituras assim que forem enviadas.</t>
  </si>
  <si>
    <t>RNF7</t>
  </si>
  <si>
    <t>Desempenho do dashboard</t>
  </si>
  <si>
    <t>O dashboard deve carregar em tempo adequado para uso operacional.</t>
  </si>
  <si>
    <t>RF1.1.1</t>
  </si>
  <si>
    <t>Exibir contexto do problema</t>
  </si>
  <si>
    <t>Mostrar impacto da temperatura e umidade inadequadas na perda de queijo e descarte de lotes.</t>
  </si>
  <si>
    <t>Sprint 3</t>
  </si>
  <si>
    <t>RF2</t>
  </si>
  <si>
    <t>Cadastro de usuário</t>
  </si>
  <si>
    <t>Permitir criação de conta para acesso ao sistema.</t>
  </si>
  <si>
    <t>RF4.1</t>
  </si>
  <si>
    <t>Solicitar e-mail de recuperação</t>
  </si>
  <si>
    <t>Receber o e-mail do usuário para iniciar a recuperação.</t>
  </si>
  <si>
    <t>RF5.2</t>
  </si>
  <si>
    <t>Coletar umidade</t>
  </si>
  <si>
    <t>Capturar valores de umidade relativa do ar pelo sensor acoplado ao Arduino.</t>
  </si>
  <si>
    <t>RF8.2</t>
  </si>
  <si>
    <t>Consultar temperatura histórica</t>
  </si>
  <si>
    <t>Visualizar histórico específico de temperatura.</t>
  </si>
  <si>
    <t>RF9</t>
  </si>
  <si>
    <t>Exibir gráficos de variação</t>
  </si>
  <si>
    <t>Apresentar visualmente a evolução dos dados ambientais.</t>
  </si>
  <si>
    <t>RF11.2</t>
  </si>
  <si>
    <t>Destacar condição crítica no dashboard</t>
  </si>
  <si>
    <t>Evidenciar visualmente que existe uma condição anormal.</t>
  </si>
  <si>
    <t>RF14.1</t>
  </si>
  <si>
    <t>Cadastrar sensor</t>
  </si>
  <si>
    <t>Registrar sensor utilizado no monitoramento.</t>
  </si>
  <si>
    <t>RNF7.2</t>
  </si>
  <si>
    <t>Renderizar gráficos de forma eficiente</t>
  </si>
  <si>
    <t>Exibir gráficos sem comprometer a experiência do usuário.</t>
  </si>
  <si>
    <t>RF2.1</t>
  </si>
  <si>
    <t>Cadastrar dados pessoais</t>
  </si>
  <si>
    <t>Cadastrar nome, e-mail, CPF e telefone do usuário.</t>
  </si>
  <si>
    <t>Sprint 4</t>
  </si>
  <si>
    <t>RF2.1.2</t>
  </si>
  <si>
    <t>Validar formato de CPF e e-mail</t>
  </si>
  <si>
    <t>Aplicar validação de formato para CPF e e-mail.</t>
  </si>
  <si>
    <t>RF2.2</t>
  </si>
  <si>
    <t>Cadastrar credenciais de acesso</t>
  </si>
  <si>
    <t>Cadastrar senha e confirmação de senha.</t>
  </si>
  <si>
    <t>RF4</t>
  </si>
  <si>
    <t>Recuperação de senha</t>
  </si>
  <si>
    <t>Permitir redefinição de senha em caso de esquecimento.</t>
  </si>
  <si>
    <t>RF11</t>
  </si>
  <si>
    <t>Enviar notificações ao usuário</t>
  </si>
  <si>
    <t>Notificar o usuário quando um alerta for emitido.</t>
  </si>
  <si>
    <t>RF14.2</t>
  </si>
  <si>
    <t>Associar sensor à câmara</t>
  </si>
  <si>
    <t>Vincular sensor a uma câmara específica.</t>
  </si>
  <si>
    <t>RNF1.2</t>
  </si>
  <si>
    <t>Separar dados por usuário</t>
  </si>
  <si>
    <t>Evitar visualização indevida de dados entre produtores.</t>
  </si>
  <si>
    <t>RNF7.1</t>
  </si>
  <si>
    <t>Carregar dados recentes rapidamente</t>
  </si>
  <si>
    <t>Apresentar leituras recentes sem demora excessiva.</t>
  </si>
  <si>
    <t>RF3.2</t>
  </si>
  <si>
    <t>Controlar acesso a áreas restritas</t>
  </si>
  <si>
    <t>Permitir acesso ao dashboard apenas para usuários autenticados.</t>
  </si>
  <si>
    <t>Sprint 5</t>
  </si>
  <si>
    <t>RF6.2</t>
  </si>
  <si>
    <t>Salvar umidade no banco</t>
  </si>
  <si>
    <t>Armazenar cada leitura de umidade recebida.</t>
  </si>
  <si>
    <t>RF7.2</t>
  </si>
  <si>
    <t>Exibir umidade atual</t>
  </si>
  <si>
    <t>Mostrar valor atual de umidade da câmara.</t>
  </si>
  <si>
    <t>RF8.1</t>
  </si>
  <si>
    <t>Filtrar histórico por período</t>
  </si>
  <si>
    <t>Permitir filtragem por data inicial e final.</t>
  </si>
  <si>
    <t>RF10.1</t>
  </si>
  <si>
    <t>Comparar leitura com faixa ideal</t>
  </si>
  <si>
    <t>Verificar se a temperatura e a umidade estão fora dos limites definidos.</t>
  </si>
  <si>
    <t>RF12</t>
  </si>
  <si>
    <t>Download de relatórios históricos</t>
  </si>
  <si>
    <t>Permitir extração de dados históricos em relatório.</t>
  </si>
  <si>
    <t>RF13.1</t>
  </si>
  <si>
    <t>Definir temperatura mínima e máxima</t>
  </si>
  <si>
    <t>Cadastrar limites ideais de temperatura.</t>
  </si>
  <si>
    <t>RNF4.2</t>
  </si>
  <si>
    <t>Facilitar tomada de decisão rápida</t>
  </si>
  <si>
    <t>Organizar a interface para destacar problemas críticos rapidamente.</t>
  </si>
  <si>
    <t>RNF5.1</t>
  </si>
  <si>
    <t>Executar ciclos constantes de leitura</t>
  </si>
  <si>
    <t>Manter rotina contínua de leitura no Arduino.</t>
  </si>
  <si>
    <t>RF3</t>
  </si>
  <si>
    <t>Tela de login</t>
  </si>
  <si>
    <t>Permitir autenticação para acesso ao sistema.</t>
  </si>
  <si>
    <t>Sprint 6</t>
  </si>
  <si>
    <t>RF5.3</t>
  </si>
  <si>
    <t>Enviar dados para API</t>
  </si>
  <si>
    <t>Transmitir as leituras coletadas para a API responsável pela persistência.</t>
  </si>
  <si>
    <t>RF8</t>
  </si>
  <si>
    <t>Visualizar histórico das medições</t>
  </si>
  <si>
    <t>Permitir consulta histórica das leituras coletadas.</t>
  </si>
  <si>
    <t>RNF1</t>
  </si>
  <si>
    <t>Confidencialidade das informações</t>
  </si>
  <si>
    <t>Proteger os dados do produtor na plataforma.</t>
  </si>
  <si>
    <t>RNF3</t>
  </si>
  <si>
    <t>Baixo custo dos componentes físicos</t>
  </si>
  <si>
    <t>Priorizar solução acessível para pequenos produtores.</t>
  </si>
  <si>
    <t>RNF3.2</t>
  </si>
  <si>
    <t>Utilizar sensor acessível</t>
  </si>
  <si>
    <t>Adotar sensores simples para temperatura e umidade.</t>
  </si>
  <si>
    <t>RNF6</t>
  </si>
  <si>
    <t>Processamento de variações críticas</t>
  </si>
  <si>
    <t>O sistema deve processar desvios e permitir alertas em tempo hábil.</t>
  </si>
  <si>
    <t>RF1.1.2</t>
  </si>
  <si>
    <t>Exibir benefícios da solução</t>
  </si>
  <si>
    <t>Mostrar como o monitoramento ajuda na tomada de decisão e redução de perdas.</t>
  </si>
  <si>
    <t>Sprint 7</t>
  </si>
  <si>
    <t>RF3.1</t>
  </si>
  <si>
    <t>Validação das credenciais</t>
  </si>
  <si>
    <t>Validar credenciais do usuário para liberação do acesso.</t>
  </si>
  <si>
    <t>RF8.3</t>
  </si>
  <si>
    <t>Consultar umidade histórica</t>
  </si>
  <si>
    <t>Visualizar histórico específico de umidade.</t>
  </si>
  <si>
    <t>RF11.1</t>
  </si>
  <si>
    <t>Notificar usuário logado</t>
  </si>
  <si>
    <t>Exibir notificação na interface após detecção de alerta.</t>
  </si>
  <si>
    <t>RF12.1</t>
  </si>
  <si>
    <t>Gerar relatório por período</t>
  </si>
  <si>
    <t>Montar relatório com base no intervalo selecionado.</t>
  </si>
  <si>
    <t>RF13.2</t>
  </si>
  <si>
    <t>Definir umidade mínima e máxima</t>
  </si>
  <si>
    <t>Cadastrar limites ideais de umidade.</t>
  </si>
  <si>
    <t>RF1.2</t>
  </si>
  <si>
    <t>Apresentar navegação principal</t>
  </si>
  <si>
    <t>Disponibilizar acesso claro para home, dashboard, contato, documentação e login.</t>
  </si>
  <si>
    <t>Sprint 8</t>
  </si>
  <si>
    <t>RF2.1.1</t>
  </si>
  <si>
    <t>Validar campos obrigatórios do cadastro</t>
  </si>
  <si>
    <t>Validar preenchimento de campos obrigatórios antes do envio.</t>
  </si>
  <si>
    <t>RF5</t>
  </si>
  <si>
    <t>Coletar dados via Arduino</t>
  </si>
  <si>
    <t>Receber leituras ambientais das câmaras de maturação.</t>
  </si>
  <si>
    <t>RF6</t>
  </si>
  <si>
    <t>Armazenar dados coletados</t>
  </si>
  <si>
    <t>Persistir leituras recebidas para consulta e análise.</t>
  </si>
  <si>
    <t>RF7.1</t>
  </si>
  <si>
    <t>Exibir temperatura atual</t>
  </si>
  <si>
    <t>Mostrar valor atual de temperatura da câmara.</t>
  </si>
  <si>
    <t>RF9.1</t>
  </si>
  <si>
    <t>Gerar gráfico de temperatura</t>
  </si>
  <si>
    <t>Exibir curva temporal das leituras de temperatura.</t>
  </si>
  <si>
    <t>RF9.2</t>
  </si>
  <si>
    <t>Gerar gráfico de umidade</t>
  </si>
  <si>
    <t>Exibir curva temporal das leituras de umidade.</t>
  </si>
  <si>
    <t>RF9.3</t>
  </si>
  <si>
    <t>Atualizar gráficos com dados da API</t>
  </si>
  <si>
    <t>Popular os gráficos com informações recuperadas pela API de consulta.</t>
  </si>
  <si>
    <t>RF12.2</t>
  </si>
  <si>
    <t>Permitir download do relatório</t>
  </si>
  <si>
    <t>Disponibilizar arquivo para o usuário baixar.</t>
  </si>
  <si>
    <t>RF14</t>
  </si>
  <si>
    <t>Cadastrar câmara ou sensor</t>
  </si>
  <si>
    <t>Manter identificação da origem das leituras.</t>
  </si>
  <si>
    <t>RNF5</t>
  </si>
  <si>
    <t>Coleta contínua de dados</t>
  </si>
  <si>
    <t>A coleta deve ocorrer continuamente durante a maturação.</t>
  </si>
  <si>
    <t>RF2.3</t>
  </si>
  <si>
    <t>Cadastrar dados da queijaria</t>
  </si>
  <si>
    <t>Registrar nome da propriedade/queijaria e identificação do produtor.</t>
  </si>
  <si>
    <t>Sprint 9</t>
  </si>
  <si>
    <t>RF7</t>
  </si>
  <si>
    <t>Dashboard principal</t>
  </si>
  <si>
    <t>Permitir visualização rápida do estado da maturação.</t>
  </si>
  <si>
    <t>RF10.3</t>
  </si>
  <si>
    <t>Gerar alerta de umidade</t>
  </si>
  <si>
    <t>Emitir alerta quando a umidade estiver fora do padrão.</t>
  </si>
  <si>
    <t>RF10.4</t>
  </si>
  <si>
    <t>Registrar evento de alerta</t>
  </si>
  <si>
    <t>Salvar ocorrência de alerta para consulta futura.</t>
  </si>
  <si>
    <t>RNF3.1</t>
  </si>
  <si>
    <t>Utilizar Arduino de baixo custo</t>
  </si>
  <si>
    <t>Adotar hardware compatível com orçamento reduzido.</t>
  </si>
  <si>
    <t>RNF6.2</t>
  </si>
  <si>
    <t>Preparar regra de disparo de alertas</t>
  </si>
  <si>
    <t>Aplicar lógica para emissão de alerta diante de desvios críticos.</t>
  </si>
  <si>
    <t>Quem fez</t>
  </si>
  <si>
    <t>Lucas Cordeiro, Miguel Carvalho</t>
  </si>
  <si>
    <t>Lucas Cordeiro, Miguel Carvalho, Leonardo Sousa</t>
  </si>
  <si>
    <t>Gustavo Estevam, Leonardo Sousa</t>
  </si>
  <si>
    <t>Leonardo Sousa</t>
  </si>
  <si>
    <t>Vinicíus Garban, Kauê Silva</t>
  </si>
  <si>
    <t>Todos os Integrantes</t>
  </si>
  <si>
    <t>Vinicíus Garban</t>
  </si>
  <si>
    <t>Kauê Silva, Leonardo Sousa, Vinicíus Garban</t>
  </si>
  <si>
    <t>Em andamento</t>
  </si>
  <si>
    <t>Dias</t>
  </si>
  <si>
    <t>Meta Dia</t>
  </si>
  <si>
    <t>Meta Ideal</t>
  </si>
  <si>
    <t>Realizado dia Real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</si>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</sst>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Arial"/>
      <charset val="1"/>
    </font>
    <font>
      <sz val="11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6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3" fillId="9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0" borderId="3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</font>
      <fill>
        <patternFill>
          <bgColor theme="8" tint="0.59996337778862885"/>
        </patternFill>
      </fill>
    </dxf>
    <dxf>
      <fill>
        <patternFill>
          <bgColor rgb="FFBF95D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 val="0"/>
      </font>
      <fill>
        <patternFill>
          <bgColor theme="8" tint="0.59996337778862885"/>
        </patternFill>
      </fill>
    </dxf>
    <dxf>
      <fill>
        <patternFill>
          <bgColor rgb="FFBF95D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ont>
        <strike val="0"/>
      </font>
      <fill>
        <patternFill>
          <bgColor theme="8" tint="0.59996337778862885"/>
        </patternFill>
      </fill>
    </dxf>
    <dxf>
      <fill>
        <patternFill>
          <bgColor rgb="FFBF95D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BF95DF"/>
      <color rgb="FFD6D2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 Sprint 2-3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BURNDOWN!$C$1</c:f>
              <c:strCache>
                <c:ptCount val="1"/>
                <c:pt idx="0">
                  <c:v>Meta Ideal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BURNDOWN!$A$2:$A$62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BURNDOWN!$C$2:$C$62</c:f>
              <c:numCache>
                <c:formatCode>General</c:formatCode>
                <c:ptCount val="61"/>
                <c:pt idx="0">
                  <c:v>648</c:v>
                </c:pt>
                <c:pt idx="1">
                  <c:v>637</c:v>
                </c:pt>
                <c:pt idx="2">
                  <c:v>626</c:v>
                </c:pt>
                <c:pt idx="3">
                  <c:v>615</c:v>
                </c:pt>
                <c:pt idx="4">
                  <c:v>604</c:v>
                </c:pt>
                <c:pt idx="5">
                  <c:v>593</c:v>
                </c:pt>
                <c:pt idx="6">
                  <c:v>582</c:v>
                </c:pt>
                <c:pt idx="7">
                  <c:v>571</c:v>
                </c:pt>
                <c:pt idx="8">
                  <c:v>560</c:v>
                </c:pt>
                <c:pt idx="9">
                  <c:v>549</c:v>
                </c:pt>
                <c:pt idx="10">
                  <c:v>538</c:v>
                </c:pt>
                <c:pt idx="11">
                  <c:v>527</c:v>
                </c:pt>
                <c:pt idx="12">
                  <c:v>516</c:v>
                </c:pt>
                <c:pt idx="13">
                  <c:v>505</c:v>
                </c:pt>
                <c:pt idx="14">
                  <c:v>494</c:v>
                </c:pt>
                <c:pt idx="15">
                  <c:v>483</c:v>
                </c:pt>
                <c:pt idx="16">
                  <c:v>472</c:v>
                </c:pt>
                <c:pt idx="17">
                  <c:v>461</c:v>
                </c:pt>
                <c:pt idx="18">
                  <c:v>450</c:v>
                </c:pt>
                <c:pt idx="19">
                  <c:v>439</c:v>
                </c:pt>
                <c:pt idx="20">
                  <c:v>428</c:v>
                </c:pt>
                <c:pt idx="21">
                  <c:v>417</c:v>
                </c:pt>
                <c:pt idx="22">
                  <c:v>406</c:v>
                </c:pt>
                <c:pt idx="23">
                  <c:v>395</c:v>
                </c:pt>
                <c:pt idx="24">
                  <c:v>384</c:v>
                </c:pt>
                <c:pt idx="25">
                  <c:v>373</c:v>
                </c:pt>
                <c:pt idx="26">
                  <c:v>362</c:v>
                </c:pt>
                <c:pt idx="27">
                  <c:v>351</c:v>
                </c:pt>
                <c:pt idx="28">
                  <c:v>340</c:v>
                </c:pt>
                <c:pt idx="29">
                  <c:v>329</c:v>
                </c:pt>
                <c:pt idx="30">
                  <c:v>318</c:v>
                </c:pt>
                <c:pt idx="31">
                  <c:v>307</c:v>
                </c:pt>
                <c:pt idx="32">
                  <c:v>296</c:v>
                </c:pt>
                <c:pt idx="33">
                  <c:v>285</c:v>
                </c:pt>
                <c:pt idx="34">
                  <c:v>274</c:v>
                </c:pt>
                <c:pt idx="35">
                  <c:v>263</c:v>
                </c:pt>
                <c:pt idx="36">
                  <c:v>252</c:v>
                </c:pt>
                <c:pt idx="37">
                  <c:v>241</c:v>
                </c:pt>
                <c:pt idx="38">
                  <c:v>230</c:v>
                </c:pt>
                <c:pt idx="39">
                  <c:v>219</c:v>
                </c:pt>
                <c:pt idx="40">
                  <c:v>208</c:v>
                </c:pt>
                <c:pt idx="41">
                  <c:v>197</c:v>
                </c:pt>
                <c:pt idx="42">
                  <c:v>186</c:v>
                </c:pt>
                <c:pt idx="43">
                  <c:v>175</c:v>
                </c:pt>
                <c:pt idx="44">
                  <c:v>164</c:v>
                </c:pt>
                <c:pt idx="45">
                  <c:v>153</c:v>
                </c:pt>
                <c:pt idx="46">
                  <c:v>142</c:v>
                </c:pt>
                <c:pt idx="47">
                  <c:v>131</c:v>
                </c:pt>
                <c:pt idx="48">
                  <c:v>120</c:v>
                </c:pt>
                <c:pt idx="49">
                  <c:v>109</c:v>
                </c:pt>
                <c:pt idx="50">
                  <c:v>98</c:v>
                </c:pt>
                <c:pt idx="51">
                  <c:v>87</c:v>
                </c:pt>
                <c:pt idx="52">
                  <c:v>76</c:v>
                </c:pt>
                <c:pt idx="53">
                  <c:v>65</c:v>
                </c:pt>
                <c:pt idx="54">
                  <c:v>54</c:v>
                </c:pt>
                <c:pt idx="55">
                  <c:v>43</c:v>
                </c:pt>
                <c:pt idx="56">
                  <c:v>32</c:v>
                </c:pt>
                <c:pt idx="57">
                  <c:v>21</c:v>
                </c:pt>
                <c:pt idx="58">
                  <c:v>10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B-4D5D-96CA-5F6127106321}"/>
            </c:ext>
          </c:extLst>
        </c:ser>
        <c:ser>
          <c:idx val="3"/>
          <c:order val="1"/>
          <c:tx>
            <c:strRef>
              <c:f>BURNDOWN!$E$1</c:f>
              <c:strCache>
                <c:ptCount val="1"/>
                <c:pt idx="0">
                  <c:v>Pendente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BURNDOWN!$A$2:$A$62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BURNDOWN!$E$2:$E$62</c:f>
              <c:numCache>
                <c:formatCode>0</c:formatCode>
                <c:ptCount val="61"/>
                <c:pt idx="0" formatCode="General">
                  <c:v>648</c:v>
                </c:pt>
                <c:pt idx="1">
                  <c:v>636</c:v>
                </c:pt>
                <c:pt idx="2">
                  <c:v>628</c:v>
                </c:pt>
                <c:pt idx="3">
                  <c:v>619</c:v>
                </c:pt>
                <c:pt idx="4">
                  <c:v>612</c:v>
                </c:pt>
                <c:pt idx="5">
                  <c:v>602</c:v>
                </c:pt>
                <c:pt idx="6">
                  <c:v>591</c:v>
                </c:pt>
                <c:pt idx="7">
                  <c:v>585</c:v>
                </c:pt>
                <c:pt idx="8">
                  <c:v>577</c:v>
                </c:pt>
                <c:pt idx="9">
                  <c:v>573</c:v>
                </c:pt>
                <c:pt idx="10">
                  <c:v>568</c:v>
                </c:pt>
                <c:pt idx="11">
                  <c:v>553</c:v>
                </c:pt>
                <c:pt idx="12">
                  <c:v>547</c:v>
                </c:pt>
                <c:pt idx="13">
                  <c:v>539</c:v>
                </c:pt>
                <c:pt idx="14">
                  <c:v>535.09208301800857</c:v>
                </c:pt>
                <c:pt idx="15">
                  <c:v>519.09208301800857</c:v>
                </c:pt>
                <c:pt idx="16">
                  <c:v>503.09208301800857</c:v>
                </c:pt>
                <c:pt idx="17">
                  <c:v>490.09208301800857</c:v>
                </c:pt>
                <c:pt idx="18">
                  <c:v>478.09208301800857</c:v>
                </c:pt>
                <c:pt idx="19">
                  <c:v>467.09208301800857</c:v>
                </c:pt>
                <c:pt idx="20">
                  <c:v>457.09208301800857</c:v>
                </c:pt>
                <c:pt idx="21">
                  <c:v>441.09208301800857</c:v>
                </c:pt>
                <c:pt idx="22">
                  <c:v>420.09208301800857</c:v>
                </c:pt>
                <c:pt idx="23">
                  <c:v>416.09208301800857</c:v>
                </c:pt>
                <c:pt idx="24">
                  <c:v>410.09208301800857</c:v>
                </c:pt>
                <c:pt idx="25">
                  <c:v>403.09208301800857</c:v>
                </c:pt>
                <c:pt idx="26">
                  <c:v>388.09208301800857</c:v>
                </c:pt>
                <c:pt idx="27">
                  <c:v>384.09208301800857</c:v>
                </c:pt>
                <c:pt idx="28">
                  <c:v>382.11317116396293</c:v>
                </c:pt>
                <c:pt idx="29">
                  <c:v>361.11317116396293</c:v>
                </c:pt>
                <c:pt idx="30">
                  <c:v>336.11317116396293</c:v>
                </c:pt>
                <c:pt idx="31">
                  <c:v>328.11317116396293</c:v>
                </c:pt>
                <c:pt idx="32">
                  <c:v>320.11317116396293</c:v>
                </c:pt>
                <c:pt idx="33">
                  <c:v>311.11317116396293</c:v>
                </c:pt>
                <c:pt idx="34">
                  <c:v>302.39048110290969</c:v>
                </c:pt>
                <c:pt idx="35">
                  <c:v>290.39048110290969</c:v>
                </c:pt>
                <c:pt idx="36">
                  <c:v>281.39048110290969</c:v>
                </c:pt>
                <c:pt idx="37">
                  <c:v>276.39048110290969</c:v>
                </c:pt>
                <c:pt idx="38">
                  <c:v>267.3207448698584</c:v>
                </c:pt>
                <c:pt idx="39">
                  <c:v>254.3207448698584</c:v>
                </c:pt>
                <c:pt idx="40">
                  <c:v>242.3207448698584</c:v>
                </c:pt>
                <c:pt idx="41">
                  <c:v>230.3207448698584</c:v>
                </c:pt>
                <c:pt idx="42">
                  <c:v>214.3207448698584</c:v>
                </c:pt>
                <c:pt idx="43">
                  <c:v>198.3207448698584</c:v>
                </c:pt>
                <c:pt idx="44">
                  <c:v>183.3207448698584</c:v>
                </c:pt>
                <c:pt idx="45">
                  <c:v>170.3207448698584</c:v>
                </c:pt>
                <c:pt idx="46">
                  <c:v>158.3207448698584</c:v>
                </c:pt>
                <c:pt idx="47">
                  <c:v>150.3207448698584</c:v>
                </c:pt>
                <c:pt idx="48">
                  <c:v>134.3207448698584</c:v>
                </c:pt>
                <c:pt idx="49">
                  <c:v>112.3207448698584</c:v>
                </c:pt>
                <c:pt idx="50">
                  <c:v>96.320744869858402</c:v>
                </c:pt>
                <c:pt idx="51">
                  <c:v>88.320744869858402</c:v>
                </c:pt>
                <c:pt idx="52">
                  <c:v>72.320744869858402</c:v>
                </c:pt>
                <c:pt idx="53">
                  <c:v>59.320744869858402</c:v>
                </c:pt>
                <c:pt idx="54">
                  <c:v>45.320744869858402</c:v>
                </c:pt>
                <c:pt idx="55">
                  <c:v>35.320744869858402</c:v>
                </c:pt>
                <c:pt idx="56">
                  <c:v>22.320744869858402</c:v>
                </c:pt>
                <c:pt idx="57">
                  <c:v>19.320744869858402</c:v>
                </c:pt>
                <c:pt idx="58">
                  <c:v>12.320744869858402</c:v>
                </c:pt>
                <c:pt idx="59">
                  <c:v>6.3207448698584017</c:v>
                </c:pt>
                <c:pt idx="60">
                  <c:v>0.32074486985840167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3B-4D5D-96CA-5F6127106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994832"/>
        <c:axId val="1214995792"/>
      </c:lineChart>
      <c:catAx>
        <c:axId val="12149948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995792"/>
        <c:crosses val="autoZero"/>
        <c:auto val="1"/>
        <c:lblAlgn val="ctr"/>
        <c:lblOffset val="100"/>
        <c:noMultiLvlLbl val="0"/>
      </c:catAx>
      <c:valAx>
        <c:axId val="1214995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499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64</xdr:row>
      <xdr:rowOff>57150</xdr:rowOff>
    </xdr:from>
    <xdr:to>
      <xdr:col>18</xdr:col>
      <xdr:colOff>561975</xdr:colOff>
      <xdr:row>115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661E5F-949E-CFE6-97CA-A177BE201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6193E-A168-40A2-AC06-0EDEB15A1172}" name="Tabela1" displayName="Tabela1" ref="A1:E62" totalsRowShown="0" headerRowDxfId="6" dataDxfId="5">
  <autoFilter ref="A1:E62" xr:uid="{14D6193E-A168-40A2-AC06-0EDEB15A1172}"/>
  <tableColumns count="5">
    <tableColumn id="1" xr3:uid="{EF7795EE-838B-429C-A65B-C2EB1DEC7C26}" name="Dias" dataDxfId="4"/>
    <tableColumn id="2" xr3:uid="{6AE368B4-73DA-421D-9E9C-775BB3EE181F}" name="Meta Dia" dataDxfId="3"/>
    <tableColumn id="3" xr3:uid="{E116C6A1-5ECA-4EE8-805D-4E7388D9D7D0}" name="Meta Ideal" dataDxfId="2"/>
    <tableColumn id="4" xr3:uid="{E954A093-E5BD-4FA2-8B5F-61FCD070E910}" name="Realizado dia Real" dataDxfId="1"/>
    <tableColumn id="5" xr3:uid="{FBC1858A-6636-471E-BE94-F7401C2E85D1}" name="Pendente" dataDxfId="0">
      <calculatedColumnFormula>SUM('Product Backlog'!H2:H74)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workbookViewId="0">
      <pane ySplit="1" topLeftCell="A60" activePane="bottomLeft" state="frozen"/>
      <selection pane="bottomLeft" activeCell="I13" sqref="I13"/>
    </sheetView>
  </sheetViews>
  <sheetFormatPr defaultRowHeight="15"/>
  <cols>
    <col min="1" max="1" width="7.28515625" style="6" bestFit="1" customWidth="1"/>
    <col min="2" max="2" width="43.42578125" style="6" bestFit="1" customWidth="1"/>
    <col min="3" max="3" width="88.85546875" style="6" bestFit="1" customWidth="1"/>
    <col min="4" max="4" width="12.140625" bestFit="1" customWidth="1"/>
    <col min="5" max="5" width="7.7109375" bestFit="1" customWidth="1"/>
    <col min="6" max="6" width="13.5703125" customWidth="1"/>
    <col min="7" max="7" width="14" bestFit="1" customWidth="1"/>
    <col min="8" max="8" width="7.140625" bestFit="1" customWidth="1"/>
    <col min="10" max="10" width="10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J1" s="15"/>
    </row>
    <row r="2" spans="1:10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>
        <v>1</v>
      </c>
      <c r="G2" s="7" t="s">
        <v>13</v>
      </c>
      <c r="H2" s="2">
        <v>8</v>
      </c>
      <c r="J2" s="18"/>
    </row>
    <row r="3" spans="1:10">
      <c r="A3" s="2" t="s">
        <v>14</v>
      </c>
      <c r="B3" s="2" t="s">
        <v>15</v>
      </c>
      <c r="C3" s="2" t="s">
        <v>16</v>
      </c>
      <c r="D3" s="5" t="s">
        <v>17</v>
      </c>
      <c r="E3" s="2" t="s">
        <v>12</v>
      </c>
      <c r="F3" s="2">
        <v>3</v>
      </c>
      <c r="G3" s="7" t="s">
        <v>18</v>
      </c>
      <c r="H3" s="2">
        <v>21</v>
      </c>
      <c r="J3" s="18"/>
    </row>
    <row r="4" spans="1:10">
      <c r="A4" s="2" t="s">
        <v>19</v>
      </c>
      <c r="B4" s="2" t="s">
        <v>20</v>
      </c>
      <c r="C4" s="2" t="s">
        <v>21</v>
      </c>
      <c r="D4" s="3" t="s">
        <v>11</v>
      </c>
      <c r="E4" s="2" t="s">
        <v>12</v>
      </c>
      <c r="F4" s="2">
        <v>1</v>
      </c>
      <c r="G4" s="7" t="s">
        <v>22</v>
      </c>
      <c r="H4" s="2">
        <v>5</v>
      </c>
      <c r="J4" s="18"/>
    </row>
    <row r="5" spans="1:10">
      <c r="A5" s="2" t="s">
        <v>23</v>
      </c>
      <c r="B5" s="2" t="s">
        <v>24</v>
      </c>
      <c r="C5" s="2" t="s">
        <v>25</v>
      </c>
      <c r="D5" s="4" t="s">
        <v>26</v>
      </c>
      <c r="E5" s="2" t="s">
        <v>12</v>
      </c>
      <c r="F5" s="2">
        <v>2</v>
      </c>
      <c r="G5" s="7" t="s">
        <v>13</v>
      </c>
      <c r="H5" s="2">
        <v>8</v>
      </c>
      <c r="J5" s="18"/>
    </row>
    <row r="6" spans="1:10">
      <c r="A6" s="2" t="s">
        <v>27</v>
      </c>
      <c r="B6" s="2" t="s">
        <v>28</v>
      </c>
      <c r="C6" s="2" t="s">
        <v>29</v>
      </c>
      <c r="D6" s="3" t="s">
        <v>11</v>
      </c>
      <c r="E6" s="2" t="s">
        <v>12</v>
      </c>
      <c r="F6" s="2">
        <v>1</v>
      </c>
      <c r="G6" s="7" t="s">
        <v>30</v>
      </c>
      <c r="H6" s="2">
        <v>13</v>
      </c>
      <c r="J6" s="18"/>
    </row>
    <row r="7" spans="1:10">
      <c r="A7" s="2" t="s">
        <v>31</v>
      </c>
      <c r="B7" s="2" t="s">
        <v>32</v>
      </c>
      <c r="C7" s="2" t="s">
        <v>33</v>
      </c>
      <c r="D7" s="3" t="s">
        <v>11</v>
      </c>
      <c r="E7" s="2" t="s">
        <v>12</v>
      </c>
      <c r="F7" s="2">
        <v>1</v>
      </c>
      <c r="G7" s="7" t="s">
        <v>30</v>
      </c>
      <c r="H7" s="2">
        <v>13</v>
      </c>
      <c r="J7" s="18"/>
    </row>
    <row r="8" spans="1:10">
      <c r="A8" s="2" t="s">
        <v>34</v>
      </c>
      <c r="B8" s="2" t="s">
        <v>35</v>
      </c>
      <c r="C8" s="2" t="s">
        <v>36</v>
      </c>
      <c r="D8" s="5" t="s">
        <v>17</v>
      </c>
      <c r="E8" s="2" t="s">
        <v>12</v>
      </c>
      <c r="F8" s="2">
        <v>3</v>
      </c>
      <c r="G8" s="7" t="s">
        <v>13</v>
      </c>
      <c r="H8" s="2">
        <v>8</v>
      </c>
      <c r="J8" s="18"/>
    </row>
    <row r="9" spans="1:10">
      <c r="A9" s="2" t="s">
        <v>37</v>
      </c>
      <c r="B9" s="2" t="s">
        <v>38</v>
      </c>
      <c r="C9" s="2" t="s">
        <v>39</v>
      </c>
      <c r="D9" s="3" t="s">
        <v>11</v>
      </c>
      <c r="E9" s="2" t="s">
        <v>40</v>
      </c>
      <c r="F9" s="2">
        <v>1</v>
      </c>
      <c r="G9" s="7" t="s">
        <v>22</v>
      </c>
      <c r="H9" s="2">
        <v>5</v>
      </c>
      <c r="J9" s="18"/>
    </row>
    <row r="10" spans="1:10">
      <c r="A10" s="2" t="s">
        <v>41</v>
      </c>
      <c r="B10" s="2" t="s">
        <v>42</v>
      </c>
      <c r="C10" s="2" t="s">
        <v>43</v>
      </c>
      <c r="D10" s="3" t="s">
        <v>11</v>
      </c>
      <c r="E10" s="2" t="s">
        <v>40</v>
      </c>
      <c r="F10" s="2">
        <v>1</v>
      </c>
      <c r="G10" s="7" t="s">
        <v>22</v>
      </c>
      <c r="H10" s="2">
        <v>5</v>
      </c>
      <c r="J10" s="18"/>
    </row>
    <row r="11" spans="1:10">
      <c r="A11" s="2" t="s">
        <v>44</v>
      </c>
      <c r="B11" s="2" t="s">
        <v>45</v>
      </c>
      <c r="C11" s="2" t="s">
        <v>46</v>
      </c>
      <c r="D11" s="3" t="s">
        <v>11</v>
      </c>
      <c r="E11" s="2" t="s">
        <v>40</v>
      </c>
      <c r="F11" s="2">
        <v>1</v>
      </c>
      <c r="G11" s="7" t="s">
        <v>22</v>
      </c>
      <c r="H11" s="2">
        <v>5</v>
      </c>
      <c r="J11" s="18"/>
    </row>
    <row r="12" spans="1:10">
      <c r="A12" s="2" t="s">
        <v>47</v>
      </c>
      <c r="B12" s="2" t="s">
        <v>48</v>
      </c>
      <c r="C12" s="2" t="s">
        <v>49</v>
      </c>
      <c r="D12" s="4" t="s">
        <v>26</v>
      </c>
      <c r="E12" s="2" t="s">
        <v>40</v>
      </c>
      <c r="F12" s="2">
        <v>2</v>
      </c>
      <c r="G12" s="7" t="s">
        <v>13</v>
      </c>
      <c r="H12" s="2">
        <v>8</v>
      </c>
      <c r="J12" s="18"/>
    </row>
    <row r="13" spans="1:10">
      <c r="A13" s="2" t="s">
        <v>50</v>
      </c>
      <c r="B13" s="2" t="s">
        <v>51</v>
      </c>
      <c r="C13" s="2" t="s">
        <v>52</v>
      </c>
      <c r="D13" s="4" t="s">
        <v>26</v>
      </c>
      <c r="E13" s="2" t="s">
        <v>40</v>
      </c>
      <c r="F13" s="2">
        <v>2</v>
      </c>
      <c r="G13" s="7" t="s">
        <v>22</v>
      </c>
      <c r="H13" s="2">
        <v>5</v>
      </c>
      <c r="J13" s="18"/>
    </row>
    <row r="14" spans="1:10">
      <c r="A14" s="2" t="s">
        <v>53</v>
      </c>
      <c r="B14" s="2" t="s">
        <v>54</v>
      </c>
      <c r="C14" s="2" t="s">
        <v>55</v>
      </c>
      <c r="D14" s="3" t="s">
        <v>11</v>
      </c>
      <c r="E14" s="2" t="s">
        <v>40</v>
      </c>
      <c r="F14" s="2">
        <v>1</v>
      </c>
      <c r="G14" s="7" t="s">
        <v>13</v>
      </c>
      <c r="H14" s="2">
        <v>8</v>
      </c>
      <c r="J14" s="18"/>
    </row>
    <row r="15" spans="1:10">
      <c r="A15" s="2" t="s">
        <v>56</v>
      </c>
      <c r="B15" s="2" t="s">
        <v>57</v>
      </c>
      <c r="C15" s="2" t="s">
        <v>58</v>
      </c>
      <c r="D15" s="3" t="s">
        <v>11</v>
      </c>
      <c r="E15" s="2" t="s">
        <v>40</v>
      </c>
      <c r="F15" s="2">
        <v>1</v>
      </c>
      <c r="G15" s="7" t="s">
        <v>30</v>
      </c>
      <c r="H15" s="2">
        <v>13</v>
      </c>
      <c r="J15" s="18"/>
    </row>
    <row r="16" spans="1:10">
      <c r="A16" s="2" t="s">
        <v>59</v>
      </c>
      <c r="B16" s="2" t="s">
        <v>60</v>
      </c>
      <c r="C16" s="7" t="s">
        <v>61</v>
      </c>
      <c r="D16" s="5" t="s">
        <v>17</v>
      </c>
      <c r="E16" s="2" t="s">
        <v>40</v>
      </c>
      <c r="F16" s="2">
        <v>3</v>
      </c>
      <c r="G16" s="7" t="s">
        <v>62</v>
      </c>
      <c r="H16" s="2">
        <v>3</v>
      </c>
      <c r="J16" s="18"/>
    </row>
    <row r="17" spans="1:10">
      <c r="A17" s="2" t="s">
        <v>63</v>
      </c>
      <c r="B17" s="2" t="s">
        <v>64</v>
      </c>
      <c r="C17" s="2" t="s">
        <v>65</v>
      </c>
      <c r="D17" s="4" t="s">
        <v>26</v>
      </c>
      <c r="E17" s="2" t="s">
        <v>40</v>
      </c>
      <c r="F17" s="2">
        <v>2</v>
      </c>
      <c r="G17" s="7" t="s">
        <v>13</v>
      </c>
      <c r="H17" s="2">
        <v>8</v>
      </c>
      <c r="J17" s="18"/>
    </row>
    <row r="18" spans="1:10">
      <c r="A18" s="2" t="s">
        <v>66</v>
      </c>
      <c r="B18" s="2" t="s">
        <v>67</v>
      </c>
      <c r="C18" s="2" t="s">
        <v>68</v>
      </c>
      <c r="D18" s="4" t="s">
        <v>26</v>
      </c>
      <c r="E18" s="2" t="s">
        <v>40</v>
      </c>
      <c r="F18" s="2">
        <v>2</v>
      </c>
      <c r="G18" s="7" t="s">
        <v>30</v>
      </c>
      <c r="H18" s="2">
        <v>13</v>
      </c>
      <c r="J18" s="18"/>
    </row>
    <row r="19" spans="1:10">
      <c r="A19" s="2" t="s">
        <v>69</v>
      </c>
      <c r="B19" s="2" t="s">
        <v>70</v>
      </c>
      <c r="C19" s="2" t="s">
        <v>71</v>
      </c>
      <c r="D19" s="4" t="s">
        <v>26</v>
      </c>
      <c r="E19" s="2" t="s">
        <v>72</v>
      </c>
      <c r="F19" s="2">
        <v>2</v>
      </c>
      <c r="G19" s="7" t="s">
        <v>22</v>
      </c>
      <c r="H19" s="2">
        <v>5</v>
      </c>
      <c r="J19" s="18"/>
    </row>
    <row r="20" spans="1:10">
      <c r="A20" s="2" t="s">
        <v>73</v>
      </c>
      <c r="B20" s="2" t="s">
        <v>74</v>
      </c>
      <c r="C20" s="2" t="s">
        <v>75</v>
      </c>
      <c r="D20" s="3" t="s">
        <v>11</v>
      </c>
      <c r="E20" s="2" t="s">
        <v>72</v>
      </c>
      <c r="F20" s="2">
        <v>1</v>
      </c>
      <c r="G20" s="7" t="s">
        <v>22</v>
      </c>
      <c r="H20" s="2">
        <v>5</v>
      </c>
      <c r="J20" s="18"/>
    </row>
    <row r="21" spans="1:10">
      <c r="A21" s="2" t="s">
        <v>76</v>
      </c>
      <c r="B21" s="2" t="s">
        <v>77</v>
      </c>
      <c r="C21" s="2" t="s">
        <v>78</v>
      </c>
      <c r="D21" s="5" t="s">
        <v>17</v>
      </c>
      <c r="E21" s="2" t="s">
        <v>72</v>
      </c>
      <c r="F21" s="2">
        <v>3</v>
      </c>
      <c r="G21" s="7" t="s">
        <v>22</v>
      </c>
      <c r="H21" s="2">
        <v>5</v>
      </c>
      <c r="J21" s="18"/>
    </row>
    <row r="22" spans="1:10">
      <c r="A22" s="2" t="s">
        <v>79</v>
      </c>
      <c r="B22" s="2" t="s">
        <v>80</v>
      </c>
      <c r="C22" s="2" t="s">
        <v>81</v>
      </c>
      <c r="D22" s="3" t="s">
        <v>11</v>
      </c>
      <c r="E22" s="2" t="s">
        <v>72</v>
      </c>
      <c r="F22" s="2">
        <v>1</v>
      </c>
      <c r="G22" s="7" t="s">
        <v>22</v>
      </c>
      <c r="H22" s="2">
        <v>5</v>
      </c>
      <c r="J22" s="18"/>
    </row>
    <row r="23" spans="1:10">
      <c r="A23" s="2" t="s">
        <v>82</v>
      </c>
      <c r="B23" s="2" t="s">
        <v>83</v>
      </c>
      <c r="C23" s="2" t="s">
        <v>84</v>
      </c>
      <c r="D23" s="4" t="s">
        <v>26</v>
      </c>
      <c r="E23" s="2" t="s">
        <v>72</v>
      </c>
      <c r="F23" s="2">
        <v>2</v>
      </c>
      <c r="G23" s="7" t="s">
        <v>30</v>
      </c>
      <c r="H23" s="2">
        <v>13</v>
      </c>
      <c r="J23" s="18"/>
    </row>
    <row r="24" spans="1:10">
      <c r="A24" s="2" t="s">
        <v>85</v>
      </c>
      <c r="B24" s="2" t="s">
        <v>86</v>
      </c>
      <c r="C24" s="2" t="s">
        <v>87</v>
      </c>
      <c r="D24" s="3" t="s">
        <v>11</v>
      </c>
      <c r="E24" s="2" t="s">
        <v>72</v>
      </c>
      <c r="F24" s="2">
        <v>1</v>
      </c>
      <c r="G24" s="7" t="s">
        <v>13</v>
      </c>
      <c r="H24" s="2">
        <v>8</v>
      </c>
      <c r="J24" s="18"/>
    </row>
    <row r="25" spans="1:10">
      <c r="A25" s="2" t="s">
        <v>88</v>
      </c>
      <c r="B25" s="2" t="s">
        <v>89</v>
      </c>
      <c r="C25" s="2" t="s">
        <v>90</v>
      </c>
      <c r="D25" s="3" t="s">
        <v>11</v>
      </c>
      <c r="E25" s="2" t="s">
        <v>72</v>
      </c>
      <c r="F25" s="2">
        <v>1</v>
      </c>
      <c r="G25" s="7" t="s">
        <v>30</v>
      </c>
      <c r="H25" s="2">
        <v>13</v>
      </c>
      <c r="J25" s="18"/>
    </row>
    <row r="26" spans="1:10">
      <c r="A26" s="2" t="s">
        <v>91</v>
      </c>
      <c r="B26" s="2" t="s">
        <v>92</v>
      </c>
      <c r="C26" s="2" t="s">
        <v>93</v>
      </c>
      <c r="D26" s="4" t="s">
        <v>26</v>
      </c>
      <c r="E26" s="2" t="s">
        <v>72</v>
      </c>
      <c r="F26" s="2">
        <v>2</v>
      </c>
      <c r="G26" s="7" t="s">
        <v>22</v>
      </c>
      <c r="H26" s="2">
        <v>5</v>
      </c>
      <c r="J26" s="18"/>
    </row>
    <row r="27" spans="1:10">
      <c r="A27" s="2" t="s">
        <v>94</v>
      </c>
      <c r="B27" s="2" t="s">
        <v>95</v>
      </c>
      <c r="C27" s="2" t="s">
        <v>96</v>
      </c>
      <c r="D27" s="4" t="s">
        <v>26</v>
      </c>
      <c r="E27" s="2" t="s">
        <v>72</v>
      </c>
      <c r="F27" s="2">
        <v>2</v>
      </c>
      <c r="G27" s="7" t="s">
        <v>30</v>
      </c>
      <c r="H27" s="2">
        <v>13</v>
      </c>
      <c r="J27" s="18"/>
    </row>
    <row r="28" spans="1:10">
      <c r="A28" s="2" t="s">
        <v>97</v>
      </c>
      <c r="B28" s="2" t="s">
        <v>98</v>
      </c>
      <c r="C28" s="2" t="s">
        <v>99</v>
      </c>
      <c r="D28" s="3" t="s">
        <v>11</v>
      </c>
      <c r="E28" s="2" t="s">
        <v>100</v>
      </c>
      <c r="F28" s="2">
        <v>1</v>
      </c>
      <c r="G28" s="7" t="s">
        <v>22</v>
      </c>
      <c r="H28" s="2">
        <v>5</v>
      </c>
      <c r="J28" s="18"/>
    </row>
    <row r="29" spans="1:10">
      <c r="A29" s="2" t="s">
        <v>101</v>
      </c>
      <c r="B29" s="2" t="s">
        <v>102</v>
      </c>
      <c r="C29" s="2" t="s">
        <v>103</v>
      </c>
      <c r="D29" s="4" t="s">
        <v>26</v>
      </c>
      <c r="E29" s="2" t="s">
        <v>100</v>
      </c>
      <c r="F29" s="2">
        <v>2</v>
      </c>
      <c r="G29" s="7" t="s">
        <v>62</v>
      </c>
      <c r="H29" s="2">
        <v>3</v>
      </c>
      <c r="J29" s="18"/>
    </row>
    <row r="30" spans="1:10">
      <c r="A30" s="2" t="s">
        <v>104</v>
      </c>
      <c r="B30" s="2" t="s">
        <v>105</v>
      </c>
      <c r="C30" s="2" t="s">
        <v>106</v>
      </c>
      <c r="D30" s="4" t="s">
        <v>26</v>
      </c>
      <c r="E30" s="2" t="s">
        <v>100</v>
      </c>
      <c r="F30" s="2">
        <v>2</v>
      </c>
      <c r="G30" s="7" t="s">
        <v>62</v>
      </c>
      <c r="H30" s="2">
        <v>3</v>
      </c>
      <c r="J30" s="18"/>
    </row>
    <row r="31" spans="1:10">
      <c r="A31" s="2" t="s">
        <v>107</v>
      </c>
      <c r="B31" s="2" t="s">
        <v>108</v>
      </c>
      <c r="C31" s="2" t="s">
        <v>109</v>
      </c>
      <c r="D31" s="5" t="s">
        <v>17</v>
      </c>
      <c r="E31" s="2" t="s">
        <v>100</v>
      </c>
      <c r="F31" s="2">
        <v>3</v>
      </c>
      <c r="G31" s="7" t="s">
        <v>22</v>
      </c>
      <c r="H31" s="2">
        <v>5</v>
      </c>
      <c r="J31" s="18"/>
    </row>
    <row r="32" spans="1:10">
      <c r="A32" s="2" t="s">
        <v>110</v>
      </c>
      <c r="B32" s="2" t="s">
        <v>111</v>
      </c>
      <c r="C32" s="2" t="s">
        <v>112</v>
      </c>
      <c r="D32" s="3" t="s">
        <v>11</v>
      </c>
      <c r="E32" s="2" t="s">
        <v>100</v>
      </c>
      <c r="F32" s="2">
        <v>1</v>
      </c>
      <c r="G32" s="7" t="s">
        <v>18</v>
      </c>
      <c r="H32" s="2">
        <v>21</v>
      </c>
      <c r="J32" s="18"/>
    </row>
    <row r="33" spans="1:10">
      <c r="A33" s="2" t="s">
        <v>113</v>
      </c>
      <c r="B33" s="2" t="s">
        <v>114</v>
      </c>
      <c r="C33" s="2" t="s">
        <v>115</v>
      </c>
      <c r="D33" s="4" t="s">
        <v>26</v>
      </c>
      <c r="E33" s="2" t="s">
        <v>100</v>
      </c>
      <c r="F33" s="2">
        <v>2</v>
      </c>
      <c r="G33" s="7" t="s">
        <v>13</v>
      </c>
      <c r="H33" s="2">
        <v>8</v>
      </c>
      <c r="J33" s="18"/>
    </row>
    <row r="34" spans="1:10">
      <c r="A34" s="2" t="s">
        <v>116</v>
      </c>
      <c r="B34" s="2" t="s">
        <v>117</v>
      </c>
      <c r="C34" s="2" t="s">
        <v>118</v>
      </c>
      <c r="D34" s="3" t="s">
        <v>11</v>
      </c>
      <c r="E34" s="2" t="s">
        <v>100</v>
      </c>
      <c r="F34" s="2">
        <v>1</v>
      </c>
      <c r="G34" s="7" t="s">
        <v>30</v>
      </c>
      <c r="H34" s="2">
        <v>13</v>
      </c>
      <c r="J34" s="18"/>
    </row>
    <row r="35" spans="1:10">
      <c r="A35" s="2" t="s">
        <v>119</v>
      </c>
      <c r="B35" s="2" t="s">
        <v>120</v>
      </c>
      <c r="C35" s="2" t="s">
        <v>121</v>
      </c>
      <c r="D35" s="4" t="s">
        <v>26</v>
      </c>
      <c r="E35" s="2" t="s">
        <v>100</v>
      </c>
      <c r="F35" s="2">
        <v>2</v>
      </c>
      <c r="G35" s="7" t="s">
        <v>30</v>
      </c>
      <c r="H35" s="2">
        <v>13</v>
      </c>
      <c r="J35" s="18"/>
    </row>
    <row r="36" spans="1:10">
      <c r="A36" s="2" t="s">
        <v>122</v>
      </c>
      <c r="B36" s="2" t="s">
        <v>123</v>
      </c>
      <c r="C36" s="2" t="s">
        <v>124</v>
      </c>
      <c r="D36" s="3" t="s">
        <v>11</v>
      </c>
      <c r="E36" s="2" t="s">
        <v>125</v>
      </c>
      <c r="F36" s="2">
        <v>1</v>
      </c>
      <c r="G36" s="7" t="s">
        <v>13</v>
      </c>
      <c r="H36" s="2">
        <v>8</v>
      </c>
      <c r="J36" s="18"/>
    </row>
    <row r="37" spans="1:10">
      <c r="A37" s="2" t="s">
        <v>126</v>
      </c>
      <c r="B37" s="2" t="s">
        <v>127</v>
      </c>
      <c r="C37" s="2" t="s">
        <v>128</v>
      </c>
      <c r="D37" s="3" t="s">
        <v>11</v>
      </c>
      <c r="E37" s="2" t="s">
        <v>125</v>
      </c>
      <c r="F37" s="2">
        <v>1</v>
      </c>
      <c r="G37" s="7" t="s">
        <v>22</v>
      </c>
      <c r="H37" s="2">
        <v>5</v>
      </c>
      <c r="J37" s="18"/>
    </row>
    <row r="38" spans="1:10">
      <c r="A38" s="2" t="s">
        <v>129</v>
      </c>
      <c r="B38" s="2" t="s">
        <v>130</v>
      </c>
      <c r="C38" s="2" t="s">
        <v>131</v>
      </c>
      <c r="D38" s="3" t="s">
        <v>11</v>
      </c>
      <c r="E38" s="2" t="s">
        <v>125</v>
      </c>
      <c r="F38" s="2">
        <v>1</v>
      </c>
      <c r="G38" s="7" t="s">
        <v>22</v>
      </c>
      <c r="H38" s="2">
        <v>5</v>
      </c>
      <c r="J38" s="18"/>
    </row>
    <row r="39" spans="1:10">
      <c r="A39" s="2" t="s">
        <v>132</v>
      </c>
      <c r="B39" s="2" t="s">
        <v>133</v>
      </c>
      <c r="C39" s="2" t="s">
        <v>134</v>
      </c>
      <c r="D39" s="4" t="s">
        <v>26</v>
      </c>
      <c r="E39" s="2" t="s">
        <v>125</v>
      </c>
      <c r="F39" s="2">
        <v>2</v>
      </c>
      <c r="G39" s="7" t="s">
        <v>30</v>
      </c>
      <c r="H39" s="2">
        <v>13</v>
      </c>
      <c r="J39" s="18"/>
    </row>
    <row r="40" spans="1:10">
      <c r="A40" s="2" t="s">
        <v>135</v>
      </c>
      <c r="B40" s="2" t="s">
        <v>136</v>
      </c>
      <c r="C40" s="2" t="s">
        <v>137</v>
      </c>
      <c r="D40" s="3" t="s">
        <v>11</v>
      </c>
      <c r="E40" s="2" t="s">
        <v>125</v>
      </c>
      <c r="F40" s="2">
        <v>1</v>
      </c>
      <c r="G40" s="7" t="s">
        <v>13</v>
      </c>
      <c r="H40" s="2">
        <v>8</v>
      </c>
      <c r="J40" s="18"/>
    </row>
    <row r="41" spans="1:10">
      <c r="A41" s="2" t="s">
        <v>138</v>
      </c>
      <c r="B41" s="2" t="s">
        <v>139</v>
      </c>
      <c r="C41" s="2" t="s">
        <v>140</v>
      </c>
      <c r="D41" s="5" t="s">
        <v>17</v>
      </c>
      <c r="E41" s="2" t="s">
        <v>125</v>
      </c>
      <c r="F41" s="2">
        <v>3</v>
      </c>
      <c r="G41" s="7" t="s">
        <v>18</v>
      </c>
      <c r="H41" s="2">
        <v>21</v>
      </c>
      <c r="J41" s="18"/>
    </row>
    <row r="42" spans="1:10">
      <c r="A42" s="2" t="s">
        <v>141</v>
      </c>
      <c r="B42" s="2" t="s">
        <v>142</v>
      </c>
      <c r="C42" s="2" t="s">
        <v>143</v>
      </c>
      <c r="D42" s="3" t="s">
        <v>11</v>
      </c>
      <c r="E42" s="2" t="s">
        <v>125</v>
      </c>
      <c r="F42" s="2">
        <v>1</v>
      </c>
      <c r="G42" s="7" t="s">
        <v>22</v>
      </c>
      <c r="H42" s="2">
        <v>5</v>
      </c>
      <c r="J42" s="18"/>
    </row>
    <row r="43" spans="1:10">
      <c r="A43" s="2" t="s">
        <v>144</v>
      </c>
      <c r="B43" s="2" t="s">
        <v>145</v>
      </c>
      <c r="C43" s="2" t="s">
        <v>146</v>
      </c>
      <c r="D43" s="5" t="s">
        <v>17</v>
      </c>
      <c r="E43" s="2" t="s">
        <v>125</v>
      </c>
      <c r="F43" s="2">
        <v>3</v>
      </c>
      <c r="G43" s="7" t="s">
        <v>22</v>
      </c>
      <c r="H43" s="2">
        <v>5</v>
      </c>
      <c r="J43" s="18"/>
    </row>
    <row r="44" spans="1:10">
      <c r="A44" s="2" t="s">
        <v>147</v>
      </c>
      <c r="B44" s="2" t="s">
        <v>148</v>
      </c>
      <c r="C44" s="2" t="s">
        <v>149</v>
      </c>
      <c r="D44" s="3" t="s">
        <v>11</v>
      </c>
      <c r="E44" s="2" t="s">
        <v>125</v>
      </c>
      <c r="F44" s="2">
        <v>1</v>
      </c>
      <c r="G44" s="7" t="s">
        <v>62</v>
      </c>
      <c r="H44" s="2">
        <v>3</v>
      </c>
      <c r="J44" s="18"/>
    </row>
    <row r="45" spans="1:10">
      <c r="A45" s="2" t="s">
        <v>150</v>
      </c>
      <c r="B45" s="2" t="s">
        <v>151</v>
      </c>
      <c r="C45" s="2" t="s">
        <v>152</v>
      </c>
      <c r="D45" s="3" t="s">
        <v>11</v>
      </c>
      <c r="E45" s="2" t="s">
        <v>153</v>
      </c>
      <c r="F45" s="2">
        <v>1</v>
      </c>
      <c r="G45" s="7" t="s">
        <v>22</v>
      </c>
      <c r="H45" s="2">
        <v>5</v>
      </c>
      <c r="J45" s="18"/>
    </row>
    <row r="46" spans="1:10">
      <c r="A46" s="2" t="s">
        <v>154</v>
      </c>
      <c r="B46" s="2" t="s">
        <v>155</v>
      </c>
      <c r="C46" s="2" t="s">
        <v>156</v>
      </c>
      <c r="D46" s="3" t="s">
        <v>11</v>
      </c>
      <c r="E46" s="2" t="s">
        <v>153</v>
      </c>
      <c r="F46" s="2">
        <v>1</v>
      </c>
      <c r="G46" s="7" t="s">
        <v>22</v>
      </c>
      <c r="H46" s="2">
        <v>5</v>
      </c>
      <c r="J46" s="18"/>
    </row>
    <row r="47" spans="1:10">
      <c r="A47" s="2" t="s">
        <v>157</v>
      </c>
      <c r="B47" s="2" t="s">
        <v>158</v>
      </c>
      <c r="C47" s="2" t="s">
        <v>159</v>
      </c>
      <c r="D47" s="4" t="s">
        <v>26</v>
      </c>
      <c r="E47" s="2" t="s">
        <v>153</v>
      </c>
      <c r="F47" s="2">
        <v>2</v>
      </c>
      <c r="G47" s="7" t="s">
        <v>30</v>
      </c>
      <c r="H47" s="2">
        <v>13</v>
      </c>
      <c r="J47" s="18"/>
    </row>
    <row r="48" spans="1:10">
      <c r="A48" s="2" t="s">
        <v>160</v>
      </c>
      <c r="B48" s="2" t="s">
        <v>161</v>
      </c>
      <c r="C48" s="2" t="s">
        <v>162</v>
      </c>
      <c r="D48" s="3" t="s">
        <v>11</v>
      </c>
      <c r="E48" s="2" t="s">
        <v>153</v>
      </c>
      <c r="F48" s="2">
        <v>1</v>
      </c>
      <c r="G48" s="7" t="s">
        <v>18</v>
      </c>
      <c r="H48" s="2">
        <v>21</v>
      </c>
      <c r="J48" s="18"/>
    </row>
    <row r="49" spans="1:10">
      <c r="A49" s="2" t="s">
        <v>163</v>
      </c>
      <c r="B49" s="2" t="s">
        <v>164</v>
      </c>
      <c r="C49" s="2" t="s">
        <v>165</v>
      </c>
      <c r="D49" s="4" t="s">
        <v>26</v>
      </c>
      <c r="E49" s="2" t="s">
        <v>153</v>
      </c>
      <c r="F49" s="2">
        <v>2</v>
      </c>
      <c r="G49" s="7" t="s">
        <v>30</v>
      </c>
      <c r="H49" s="2">
        <v>13</v>
      </c>
      <c r="J49" s="18"/>
    </row>
    <row r="50" spans="1:10">
      <c r="A50" s="2" t="s">
        <v>166</v>
      </c>
      <c r="B50" s="2" t="s">
        <v>167</v>
      </c>
      <c r="C50" s="2" t="s">
        <v>168</v>
      </c>
      <c r="D50" s="4" t="s">
        <v>26</v>
      </c>
      <c r="E50" s="2" t="s">
        <v>153</v>
      </c>
      <c r="F50" s="2">
        <v>2</v>
      </c>
      <c r="G50" s="7" t="s">
        <v>22</v>
      </c>
      <c r="H50" s="2">
        <v>5</v>
      </c>
      <c r="J50" s="18"/>
    </row>
    <row r="51" spans="1:10">
      <c r="A51" s="2" t="s">
        <v>169</v>
      </c>
      <c r="B51" s="2" t="s">
        <v>170</v>
      </c>
      <c r="C51" s="2" t="s">
        <v>171</v>
      </c>
      <c r="D51" s="4" t="s">
        <v>26</v>
      </c>
      <c r="E51" s="2" t="s">
        <v>153</v>
      </c>
      <c r="F51" s="2">
        <v>2</v>
      </c>
      <c r="G51" s="7" t="s">
        <v>13</v>
      </c>
      <c r="H51" s="2">
        <v>8</v>
      </c>
      <c r="J51" s="18"/>
    </row>
    <row r="52" spans="1:10">
      <c r="A52" s="2" t="s">
        <v>172</v>
      </c>
      <c r="B52" s="2" t="s">
        <v>173</v>
      </c>
      <c r="C52" s="2" t="s">
        <v>174</v>
      </c>
      <c r="D52" s="4" t="s">
        <v>26</v>
      </c>
      <c r="E52" s="2" t="s">
        <v>175</v>
      </c>
      <c r="F52" s="2">
        <v>2</v>
      </c>
      <c r="G52" s="7" t="s">
        <v>22</v>
      </c>
      <c r="H52" s="2">
        <v>5</v>
      </c>
      <c r="J52" s="18"/>
    </row>
    <row r="53" spans="1:10">
      <c r="A53" s="2" t="s">
        <v>176</v>
      </c>
      <c r="B53" s="2" t="s">
        <v>177</v>
      </c>
      <c r="C53" s="2" t="s">
        <v>178</v>
      </c>
      <c r="D53" s="3" t="s">
        <v>11</v>
      </c>
      <c r="E53" s="2" t="s">
        <v>175</v>
      </c>
      <c r="F53" s="2">
        <v>1</v>
      </c>
      <c r="G53" s="7" t="s">
        <v>22</v>
      </c>
      <c r="H53" s="2">
        <v>5</v>
      </c>
      <c r="J53" s="18"/>
    </row>
    <row r="54" spans="1:10">
      <c r="A54" s="2" t="s">
        <v>179</v>
      </c>
      <c r="B54" s="2" t="s">
        <v>180</v>
      </c>
      <c r="C54" s="2" t="s">
        <v>181</v>
      </c>
      <c r="D54" s="4" t="s">
        <v>26</v>
      </c>
      <c r="E54" s="2" t="s">
        <v>175</v>
      </c>
      <c r="F54" s="2">
        <v>2</v>
      </c>
      <c r="G54" s="7" t="s">
        <v>30</v>
      </c>
      <c r="H54" s="2">
        <v>13</v>
      </c>
      <c r="J54" s="18"/>
    </row>
    <row r="55" spans="1:10">
      <c r="A55" s="2" t="s">
        <v>182</v>
      </c>
      <c r="B55" s="2" t="s">
        <v>183</v>
      </c>
      <c r="C55" s="2" t="s">
        <v>184</v>
      </c>
      <c r="D55" s="3" t="s">
        <v>11</v>
      </c>
      <c r="E55" s="2" t="s">
        <v>175</v>
      </c>
      <c r="F55" s="2">
        <v>1</v>
      </c>
      <c r="G55" s="7" t="s">
        <v>18</v>
      </c>
      <c r="H55" s="2">
        <v>21</v>
      </c>
      <c r="J55" s="18"/>
    </row>
    <row r="56" spans="1:10">
      <c r="A56" s="2" t="s">
        <v>185</v>
      </c>
      <c r="B56" s="2" t="s">
        <v>186</v>
      </c>
      <c r="C56" s="2" t="s">
        <v>187</v>
      </c>
      <c r="D56" s="5" t="s">
        <v>17</v>
      </c>
      <c r="E56" s="2" t="s">
        <v>175</v>
      </c>
      <c r="F56" s="2">
        <v>3</v>
      </c>
      <c r="G56" s="7" t="s">
        <v>18</v>
      </c>
      <c r="H56" s="2">
        <v>21</v>
      </c>
      <c r="J56" s="18"/>
    </row>
    <row r="57" spans="1:10">
      <c r="A57" s="2" t="s">
        <v>188</v>
      </c>
      <c r="B57" s="2" t="s">
        <v>189</v>
      </c>
      <c r="C57" s="2" t="s">
        <v>190</v>
      </c>
      <c r="D57" s="3" t="s">
        <v>11</v>
      </c>
      <c r="E57" s="2" t="s">
        <v>175</v>
      </c>
      <c r="F57" s="2">
        <v>1</v>
      </c>
      <c r="G57" s="7" t="s">
        <v>22</v>
      </c>
      <c r="H57" s="2">
        <v>5</v>
      </c>
      <c r="J57" s="18"/>
    </row>
    <row r="58" spans="1:10">
      <c r="A58" s="2" t="s">
        <v>191</v>
      </c>
      <c r="B58" s="2" t="s">
        <v>192</v>
      </c>
      <c r="C58" s="2" t="s">
        <v>193</v>
      </c>
      <c r="D58" s="4" t="s">
        <v>26</v>
      </c>
      <c r="E58" s="2" t="s">
        <v>194</v>
      </c>
      <c r="F58" s="2">
        <v>2</v>
      </c>
      <c r="G58" s="7" t="s">
        <v>22</v>
      </c>
      <c r="H58" s="2">
        <v>5</v>
      </c>
      <c r="J58" s="18"/>
    </row>
    <row r="59" spans="1:10">
      <c r="A59" s="2" t="s">
        <v>195</v>
      </c>
      <c r="B59" s="2" t="s">
        <v>196</v>
      </c>
      <c r="C59" s="2" t="s">
        <v>197</v>
      </c>
      <c r="D59" s="4" t="s">
        <v>26</v>
      </c>
      <c r="E59" s="2" t="s">
        <v>194</v>
      </c>
      <c r="F59" s="2">
        <v>2</v>
      </c>
      <c r="G59" s="7" t="s">
        <v>62</v>
      </c>
      <c r="H59" s="2">
        <v>3</v>
      </c>
      <c r="J59" s="18"/>
    </row>
    <row r="60" spans="1:10">
      <c r="A60" s="2" t="s">
        <v>198</v>
      </c>
      <c r="B60" s="2" t="s">
        <v>199</v>
      </c>
      <c r="C60" s="2" t="s">
        <v>200</v>
      </c>
      <c r="D60" s="3" t="s">
        <v>11</v>
      </c>
      <c r="E60" s="2" t="s">
        <v>194</v>
      </c>
      <c r="F60" s="2">
        <v>1</v>
      </c>
      <c r="G60" s="7" t="s">
        <v>22</v>
      </c>
      <c r="H60" s="2">
        <v>5</v>
      </c>
      <c r="J60" s="18"/>
    </row>
    <row r="61" spans="1:10">
      <c r="A61" s="2" t="s">
        <v>201</v>
      </c>
      <c r="B61" s="2" t="s">
        <v>202</v>
      </c>
      <c r="C61" s="2" t="s">
        <v>203</v>
      </c>
      <c r="D61" s="3" t="s">
        <v>11</v>
      </c>
      <c r="E61" s="2" t="s">
        <v>194</v>
      </c>
      <c r="F61" s="2">
        <v>1</v>
      </c>
      <c r="G61" s="7" t="s">
        <v>22</v>
      </c>
      <c r="H61" s="2">
        <v>5</v>
      </c>
      <c r="J61" s="18"/>
    </row>
    <row r="62" spans="1:10">
      <c r="A62" s="2" t="s">
        <v>204</v>
      </c>
      <c r="B62" s="2" t="s">
        <v>205</v>
      </c>
      <c r="C62" s="2" t="s">
        <v>206</v>
      </c>
      <c r="D62" s="3" t="s">
        <v>11</v>
      </c>
      <c r="E62" s="2" t="s">
        <v>194</v>
      </c>
      <c r="F62" s="2">
        <v>1</v>
      </c>
      <c r="G62" s="7" t="s">
        <v>22</v>
      </c>
      <c r="H62" s="2">
        <v>5</v>
      </c>
      <c r="J62" s="18"/>
    </row>
    <row r="63" spans="1:10">
      <c r="A63" s="2" t="s">
        <v>207</v>
      </c>
      <c r="B63" s="2" t="s">
        <v>208</v>
      </c>
      <c r="C63" s="2" t="s">
        <v>209</v>
      </c>
      <c r="D63" s="3" t="s">
        <v>11</v>
      </c>
      <c r="E63" s="2" t="s">
        <v>194</v>
      </c>
      <c r="F63" s="2">
        <v>1</v>
      </c>
      <c r="G63" s="7" t="s">
        <v>22</v>
      </c>
      <c r="H63" s="2">
        <v>5</v>
      </c>
      <c r="J63" s="18"/>
    </row>
    <row r="64" spans="1:10">
      <c r="A64" s="2" t="s">
        <v>210</v>
      </c>
      <c r="B64" s="2" t="s">
        <v>211</v>
      </c>
      <c r="C64" s="2" t="s">
        <v>212</v>
      </c>
      <c r="D64" s="3" t="s">
        <v>11</v>
      </c>
      <c r="E64" s="2" t="s">
        <v>194</v>
      </c>
      <c r="F64" s="2">
        <v>1</v>
      </c>
      <c r="G64" s="7" t="s">
        <v>22</v>
      </c>
      <c r="H64" s="2">
        <v>5</v>
      </c>
      <c r="J64" s="18"/>
    </row>
    <row r="65" spans="1:10">
      <c r="A65" s="2" t="s">
        <v>213</v>
      </c>
      <c r="B65" s="2" t="s">
        <v>214</v>
      </c>
      <c r="C65" s="2" t="s">
        <v>215</v>
      </c>
      <c r="D65" s="3" t="s">
        <v>11</v>
      </c>
      <c r="E65" s="2" t="s">
        <v>194</v>
      </c>
      <c r="F65" s="2">
        <v>1</v>
      </c>
      <c r="G65" s="7" t="s">
        <v>62</v>
      </c>
      <c r="H65" s="2">
        <v>3</v>
      </c>
      <c r="J65" s="18"/>
    </row>
    <row r="66" spans="1:10">
      <c r="A66" s="2" t="s">
        <v>216</v>
      </c>
      <c r="B66" s="2" t="s">
        <v>217</v>
      </c>
      <c r="C66" s="2" t="s">
        <v>218</v>
      </c>
      <c r="D66" s="5" t="s">
        <v>17</v>
      </c>
      <c r="E66" s="2" t="s">
        <v>194</v>
      </c>
      <c r="F66" s="2">
        <v>3</v>
      </c>
      <c r="G66" s="7" t="s">
        <v>18</v>
      </c>
      <c r="H66" s="2">
        <v>21</v>
      </c>
      <c r="J66" s="18"/>
    </row>
    <row r="67" spans="1:10">
      <c r="A67" s="2" t="s">
        <v>219</v>
      </c>
      <c r="B67" s="2" t="s">
        <v>220</v>
      </c>
      <c r="C67" s="2" t="s">
        <v>221</v>
      </c>
      <c r="D67" s="4" t="s">
        <v>26</v>
      </c>
      <c r="E67" s="2" t="s">
        <v>194</v>
      </c>
      <c r="F67" s="2">
        <v>2</v>
      </c>
      <c r="G67" s="7" t="s">
        <v>30</v>
      </c>
      <c r="H67" s="2">
        <v>13</v>
      </c>
      <c r="J67" s="18"/>
    </row>
    <row r="68" spans="1:10">
      <c r="A68" s="2" t="s">
        <v>222</v>
      </c>
      <c r="B68" s="2" t="s">
        <v>223</v>
      </c>
      <c r="C68" s="2" t="s">
        <v>224</v>
      </c>
      <c r="D68" s="3" t="s">
        <v>11</v>
      </c>
      <c r="E68" s="2" t="s">
        <v>194</v>
      </c>
      <c r="F68" s="2">
        <v>1</v>
      </c>
      <c r="G68" s="7" t="s">
        <v>62</v>
      </c>
      <c r="H68" s="2">
        <v>3</v>
      </c>
      <c r="J68" s="18"/>
    </row>
    <row r="69" spans="1:10">
      <c r="A69" s="2" t="s">
        <v>225</v>
      </c>
      <c r="B69" s="2" t="s">
        <v>226</v>
      </c>
      <c r="C69" s="2" t="s">
        <v>227</v>
      </c>
      <c r="D69" s="5" t="s">
        <v>17</v>
      </c>
      <c r="E69" s="2" t="s">
        <v>228</v>
      </c>
      <c r="F69" s="2">
        <v>3</v>
      </c>
      <c r="G69" s="7" t="s">
        <v>22</v>
      </c>
      <c r="H69" s="2">
        <v>5</v>
      </c>
      <c r="J69" s="18"/>
    </row>
    <row r="70" spans="1:10">
      <c r="A70" s="2" t="s">
        <v>229</v>
      </c>
      <c r="B70" s="2" t="s">
        <v>230</v>
      </c>
      <c r="C70" s="2" t="s">
        <v>231</v>
      </c>
      <c r="D70" s="3" t="s">
        <v>11</v>
      </c>
      <c r="E70" s="2" t="s">
        <v>228</v>
      </c>
      <c r="F70" s="2">
        <v>1</v>
      </c>
      <c r="G70" s="7" t="s">
        <v>30</v>
      </c>
      <c r="H70" s="2">
        <v>13</v>
      </c>
      <c r="J70" s="18"/>
    </row>
    <row r="71" spans="1:10">
      <c r="A71" s="2" t="s">
        <v>232</v>
      </c>
      <c r="B71" s="2" t="s">
        <v>233</v>
      </c>
      <c r="C71" s="2" t="s">
        <v>234</v>
      </c>
      <c r="D71" s="3" t="s">
        <v>11</v>
      </c>
      <c r="E71" s="2" t="s">
        <v>228</v>
      </c>
      <c r="F71" s="2">
        <v>1</v>
      </c>
      <c r="G71" s="7" t="s">
        <v>30</v>
      </c>
      <c r="H71" s="2">
        <v>13</v>
      </c>
      <c r="J71" s="18"/>
    </row>
    <row r="72" spans="1:10">
      <c r="A72" s="2" t="s">
        <v>235</v>
      </c>
      <c r="B72" s="2" t="s">
        <v>236</v>
      </c>
      <c r="C72" s="2" t="s">
        <v>237</v>
      </c>
      <c r="D72" s="4" t="s">
        <v>26</v>
      </c>
      <c r="E72" s="2" t="s">
        <v>228</v>
      </c>
      <c r="F72" s="2">
        <v>2</v>
      </c>
      <c r="G72" s="7" t="s">
        <v>18</v>
      </c>
      <c r="H72" s="2">
        <v>21</v>
      </c>
      <c r="J72" s="18"/>
    </row>
    <row r="73" spans="1:10">
      <c r="A73" s="2" t="s">
        <v>238</v>
      </c>
      <c r="B73" s="2" t="s">
        <v>239</v>
      </c>
      <c r="C73" s="2" t="s">
        <v>240</v>
      </c>
      <c r="D73" s="4" t="s">
        <v>26</v>
      </c>
      <c r="E73" s="2" t="s">
        <v>228</v>
      </c>
      <c r="F73" s="2">
        <v>2</v>
      </c>
      <c r="G73" s="7" t="s">
        <v>22</v>
      </c>
      <c r="H73" s="2">
        <v>5</v>
      </c>
      <c r="J73" s="18"/>
    </row>
    <row r="74" spans="1:10">
      <c r="A74" s="2" t="s">
        <v>241</v>
      </c>
      <c r="B74" s="2" t="s">
        <v>242</v>
      </c>
      <c r="C74" s="2" t="s">
        <v>243</v>
      </c>
      <c r="D74" s="4" t="s">
        <v>26</v>
      </c>
      <c r="E74" s="2" t="s">
        <v>228</v>
      </c>
      <c r="F74" s="2">
        <v>2</v>
      </c>
      <c r="G74" s="7" t="s">
        <v>30</v>
      </c>
      <c r="H74" s="2">
        <v>13</v>
      </c>
      <c r="J74" s="18"/>
    </row>
    <row r="78" spans="1:10">
      <c r="E78" s="16"/>
      <c r="F78" s="17"/>
    </row>
    <row r="79" spans="1:10">
      <c r="E79" s="16"/>
      <c r="F79" s="17"/>
    </row>
    <row r="80" spans="1:10">
      <c r="E80" s="16"/>
      <c r="F80" s="17"/>
    </row>
    <row r="81" spans="5:8">
      <c r="E81" s="16"/>
      <c r="F81" s="17"/>
    </row>
    <row r="82" spans="5:8">
      <c r="E82" s="16"/>
      <c r="F82" s="17"/>
    </row>
    <row r="83" spans="5:8">
      <c r="E83" s="16"/>
      <c r="F83" s="17"/>
    </row>
    <row r="84" spans="5:8">
      <c r="E84" s="16"/>
      <c r="F84" s="17"/>
    </row>
    <row r="85" spans="5:8">
      <c r="E85" s="16"/>
      <c r="F85" s="17"/>
      <c r="G85" s="19" t="s">
        <v>12</v>
      </c>
      <c r="H85" s="20">
        <f>SUMIF($E$2:$E$74,G85,$H$2:$H$74)</f>
        <v>76</v>
      </c>
    </row>
    <row r="86" spans="5:8">
      <c r="E86" s="16"/>
      <c r="F86" s="17"/>
      <c r="G86" s="19" t="s">
        <v>40</v>
      </c>
      <c r="H86" s="20">
        <f>SUMIF($E$2:$E$74,G86,$H$2:$H$74)</f>
        <v>73</v>
      </c>
    </row>
    <row r="87" spans="5:8">
      <c r="G87" s="19" t="s">
        <v>72</v>
      </c>
      <c r="H87" s="20">
        <f>SUMIF($E$2:$E$74,G87,$H$2:$H$74)</f>
        <v>72</v>
      </c>
    </row>
    <row r="88" spans="5:8">
      <c r="G88" s="19" t="s">
        <v>100</v>
      </c>
      <c r="H88" s="20">
        <f>SUMIF($E$2:$E$74,G88,$H$2:$H$74)</f>
        <v>71</v>
      </c>
    </row>
    <row r="89" spans="5:8">
      <c r="G89" s="19" t="s">
        <v>125</v>
      </c>
      <c r="H89" s="20">
        <f>SUMIF($E$2:$E$74,G89,$H$2:$H$74)</f>
        <v>73</v>
      </c>
    </row>
    <row r="90" spans="5:8">
      <c r="G90" s="19" t="s">
        <v>153</v>
      </c>
      <c r="H90" s="20">
        <f>SUMIF($E$2:$E$74,G90,$H$2:$H$74)</f>
        <v>70</v>
      </c>
    </row>
    <row r="91" spans="5:8">
      <c r="G91" s="19" t="s">
        <v>175</v>
      </c>
      <c r="H91" s="20">
        <f>SUMIF($E$2:$E$74,G91,$H$2:$H$74)</f>
        <v>70</v>
      </c>
    </row>
    <row r="92" spans="5:8">
      <c r="G92" s="19" t="s">
        <v>194</v>
      </c>
      <c r="H92" s="20">
        <f>SUMIF($E$2:$E$74,G92,$H$2:$H$74)</f>
        <v>73</v>
      </c>
    </row>
    <row r="93" spans="5:8">
      <c r="G93" s="19" t="s">
        <v>228</v>
      </c>
      <c r="H93" s="20">
        <f>SUMIF($E$2:$E$74,G93,$H$2:$H$74)</f>
        <v>70</v>
      </c>
    </row>
  </sheetData>
  <sortState xmlns:xlrd2="http://schemas.microsoft.com/office/spreadsheetml/2017/richdata2" ref="A2:H74">
    <sortCondition ref="E2:E74"/>
  </sortState>
  <conditionalFormatting sqref="G2:G74">
    <cfRule type="cellIs" dxfId="21" priority="1" operator="equal">
      <formula>"GG"</formula>
    </cfRule>
    <cfRule type="cellIs" dxfId="20" priority="2" operator="equal">
      <formula>"G"</formula>
    </cfRule>
    <cfRule type="cellIs" dxfId="19" priority="3" operator="equal">
      <formula>"M"</formula>
    </cfRule>
    <cfRule type="cellIs" dxfId="18" priority="4" operator="equal">
      <formula>"P"</formula>
    </cfRule>
    <cfRule type="cellIs" dxfId="17" priority="5" operator="equal">
      <formula>"PP"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811B0-8929-468E-8340-26A9A2AB1024}">
  <dimension ref="A1:I72"/>
  <sheetViews>
    <sheetView tabSelected="1" topLeftCell="B1" workbookViewId="0">
      <selection activeCell="I7" sqref="I7"/>
    </sheetView>
  </sheetViews>
  <sheetFormatPr defaultColWidth="104.42578125" defaultRowHeight="15"/>
  <cols>
    <col min="1" max="1" width="7.28515625" bestFit="1" customWidth="1"/>
    <col min="2" max="2" width="43.42578125" bestFit="1" customWidth="1"/>
    <col min="3" max="3" width="88.85546875" bestFit="1" customWidth="1"/>
    <col min="4" max="4" width="12.140625" bestFit="1" customWidth="1"/>
    <col min="5" max="5" width="7.7109375" bestFit="1" customWidth="1"/>
    <col min="6" max="6" width="10.28515625" bestFit="1" customWidth="1"/>
    <col min="7" max="7" width="14" bestFit="1" customWidth="1"/>
    <col min="8" max="8" width="7.140625" bestFit="1" customWidth="1"/>
    <col min="9" max="9" width="45.28515625" customWidth="1"/>
    <col min="10" max="10" width="36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244</v>
      </c>
    </row>
    <row r="2" spans="1:9">
      <c r="A2" s="2" t="s">
        <v>8</v>
      </c>
      <c r="B2" s="2" t="s">
        <v>9</v>
      </c>
      <c r="C2" s="2" t="s">
        <v>10</v>
      </c>
      <c r="D2" s="3" t="s">
        <v>11</v>
      </c>
      <c r="E2" s="2" t="str">
        <f>_xlfn.XLOOKUP(A2,'Product Backlog'!$A$2:$A$74,'Product Backlog'!$E$2:$E$74)</f>
        <v>Sprint 1</v>
      </c>
      <c r="F2" s="2">
        <v>1</v>
      </c>
      <c r="G2" s="7" t="s">
        <v>13</v>
      </c>
      <c r="H2" s="2">
        <v>8</v>
      </c>
      <c r="I2" t="s">
        <v>245</v>
      </c>
    </row>
    <row r="3" spans="1:9">
      <c r="A3" s="2" t="s">
        <v>37</v>
      </c>
      <c r="B3" s="2" t="s">
        <v>38</v>
      </c>
      <c r="C3" s="2" t="s">
        <v>39</v>
      </c>
      <c r="D3" s="3" t="s">
        <v>11</v>
      </c>
      <c r="E3" s="2" t="str">
        <f>_xlfn.XLOOKUP(A3,'Product Backlog'!$A$2:$A$74,'Product Backlog'!$E$2:$E$74)</f>
        <v>Sprint 2</v>
      </c>
      <c r="F3" s="2">
        <v>1</v>
      </c>
      <c r="G3" s="7" t="s">
        <v>22</v>
      </c>
      <c r="H3" s="2">
        <v>5</v>
      </c>
      <c r="I3" t="s">
        <v>245</v>
      </c>
    </row>
    <row r="4" spans="1:9">
      <c r="A4" s="2" t="s">
        <v>69</v>
      </c>
      <c r="B4" s="2" t="s">
        <v>70</v>
      </c>
      <c r="C4" s="2" t="s">
        <v>71</v>
      </c>
      <c r="D4" s="4" t="s">
        <v>26</v>
      </c>
      <c r="E4" s="2" t="str">
        <f>_xlfn.XLOOKUP(A4,'Product Backlog'!$A$2:$A$74,'Product Backlog'!$E$2:$E$74)</f>
        <v>Sprint 3</v>
      </c>
      <c r="F4" s="2">
        <v>2</v>
      </c>
      <c r="G4" s="7" t="s">
        <v>22</v>
      </c>
      <c r="H4" s="2">
        <v>5</v>
      </c>
      <c r="I4" t="s">
        <v>245</v>
      </c>
    </row>
    <row r="5" spans="1:9">
      <c r="A5" s="2" t="s">
        <v>172</v>
      </c>
      <c r="B5" s="2" t="s">
        <v>173</v>
      </c>
      <c r="C5" s="2" t="s">
        <v>174</v>
      </c>
      <c r="D5" s="4" t="s">
        <v>26</v>
      </c>
      <c r="E5" s="2" t="str">
        <f>_xlfn.XLOOKUP(A5,'Product Backlog'!$A$2:$A$74,'Product Backlog'!$E$2:$E$74)</f>
        <v>Sprint 7</v>
      </c>
      <c r="F5" s="2">
        <v>2</v>
      </c>
      <c r="G5" s="7" t="s">
        <v>22</v>
      </c>
      <c r="H5" s="2">
        <v>5</v>
      </c>
      <c r="I5" t="s">
        <v>245</v>
      </c>
    </row>
    <row r="6" spans="1:9">
      <c r="A6" s="2" t="s">
        <v>191</v>
      </c>
      <c r="B6" s="2" t="s">
        <v>192</v>
      </c>
      <c r="C6" s="2" t="s">
        <v>193</v>
      </c>
      <c r="D6" s="4" t="s">
        <v>26</v>
      </c>
      <c r="E6" s="2" t="str">
        <f>_xlfn.XLOOKUP(A6,'Product Backlog'!$A$2:$A$74,'Product Backlog'!$E$2:$E$74)</f>
        <v>Sprint 8</v>
      </c>
      <c r="F6" s="2">
        <v>2</v>
      </c>
      <c r="G6" s="7" t="s">
        <v>22</v>
      </c>
      <c r="H6" s="2">
        <v>5</v>
      </c>
      <c r="I6" s="21" t="s">
        <v>246</v>
      </c>
    </row>
    <row r="7" spans="1:9">
      <c r="A7" s="2" t="s">
        <v>73</v>
      </c>
      <c r="B7" s="2" t="s">
        <v>74</v>
      </c>
      <c r="C7" s="2" t="s">
        <v>75</v>
      </c>
      <c r="D7" s="3" t="s">
        <v>11</v>
      </c>
      <c r="E7" s="2" t="str">
        <f>_xlfn.XLOOKUP(A7,'Product Backlog'!$A$2:$A$74,'Product Backlog'!$E$2:$E$74)</f>
        <v>Sprint 3</v>
      </c>
      <c r="F7" s="2">
        <v>1</v>
      </c>
      <c r="G7" s="7" t="s">
        <v>22</v>
      </c>
      <c r="H7" s="2">
        <v>5</v>
      </c>
      <c r="I7" t="s">
        <v>247</v>
      </c>
    </row>
    <row r="8" spans="1:9">
      <c r="A8" s="2" t="s">
        <v>97</v>
      </c>
      <c r="B8" s="2" t="s">
        <v>98</v>
      </c>
      <c r="C8" s="2" t="s">
        <v>99</v>
      </c>
      <c r="D8" s="3" t="s">
        <v>11</v>
      </c>
      <c r="E8" s="2" t="str">
        <f>_xlfn.XLOOKUP(A8,'Product Backlog'!$A$2:$A$74,'Product Backlog'!$E$2:$E$74)</f>
        <v>Sprint 4</v>
      </c>
      <c r="F8" s="2">
        <v>1</v>
      </c>
      <c r="G8" s="7" t="s">
        <v>22</v>
      </c>
      <c r="H8" s="2">
        <v>5</v>
      </c>
      <c r="I8" t="s">
        <v>247</v>
      </c>
    </row>
    <row r="9" spans="1:9">
      <c r="A9" s="2" t="s">
        <v>195</v>
      </c>
      <c r="B9" s="2" t="s">
        <v>196</v>
      </c>
      <c r="C9" s="2" t="s">
        <v>197</v>
      </c>
      <c r="D9" s="4" t="s">
        <v>26</v>
      </c>
      <c r="E9" s="2" t="str">
        <f>_xlfn.XLOOKUP(A9,'Product Backlog'!$A$2:$A$74,'Product Backlog'!$E$2:$E$74)</f>
        <v>Sprint 8</v>
      </c>
      <c r="F9" s="2">
        <v>2</v>
      </c>
      <c r="G9" s="7" t="s">
        <v>62</v>
      </c>
      <c r="H9" s="2">
        <v>3</v>
      </c>
      <c r="I9" t="s">
        <v>248</v>
      </c>
    </row>
    <row r="10" spans="1:9">
      <c r="A10" s="2" t="s">
        <v>101</v>
      </c>
      <c r="B10" s="2" t="s">
        <v>102</v>
      </c>
      <c r="C10" s="2" t="s">
        <v>103</v>
      </c>
      <c r="D10" s="4" t="s">
        <v>26</v>
      </c>
      <c r="E10" s="2" t="str">
        <f>_xlfn.XLOOKUP(A10,'Product Backlog'!$A$2:$A$74,'Product Backlog'!$E$2:$E$74)</f>
        <v>Sprint 4</v>
      </c>
      <c r="F10" s="2">
        <v>2</v>
      </c>
      <c r="G10" s="7" t="s">
        <v>62</v>
      </c>
      <c r="H10" s="2">
        <v>3</v>
      </c>
      <c r="I10" t="s">
        <v>248</v>
      </c>
    </row>
    <row r="11" spans="1:9">
      <c r="A11" s="2" t="s">
        <v>150</v>
      </c>
      <c r="B11" s="2" t="s">
        <v>151</v>
      </c>
      <c r="C11" s="2" t="s">
        <v>152</v>
      </c>
      <c r="D11" s="3" t="s">
        <v>11</v>
      </c>
      <c r="E11" s="2" t="str">
        <f>_xlfn.XLOOKUP(A11,'Product Backlog'!$A$2:$A$74,'Product Backlog'!$E$2:$E$74)</f>
        <v>Sprint 6</v>
      </c>
      <c r="F11" s="2">
        <v>1</v>
      </c>
      <c r="G11" s="7" t="s">
        <v>22</v>
      </c>
      <c r="H11" s="2">
        <v>5</v>
      </c>
      <c r="I11" t="s">
        <v>249</v>
      </c>
    </row>
    <row r="12" spans="1:9">
      <c r="A12" s="2" t="s">
        <v>198</v>
      </c>
      <c r="B12" s="2" t="s">
        <v>199</v>
      </c>
      <c r="C12" s="2" t="s">
        <v>200</v>
      </c>
      <c r="D12" s="3" t="s">
        <v>11</v>
      </c>
      <c r="E12" s="2" t="str">
        <f>_xlfn.XLOOKUP(A12,'Product Backlog'!$A$2:$A$74,'Product Backlog'!$E$2:$E$74)</f>
        <v>Sprint 8</v>
      </c>
      <c r="F12" s="2">
        <v>1</v>
      </c>
      <c r="G12" s="7" t="s">
        <v>22</v>
      </c>
      <c r="H12" s="2">
        <v>5</v>
      </c>
      <c r="I12" t="s">
        <v>250</v>
      </c>
    </row>
    <row r="13" spans="1:9">
      <c r="A13" s="2" t="s">
        <v>41</v>
      </c>
      <c r="B13" s="2" t="s">
        <v>42</v>
      </c>
      <c r="C13" s="2" t="s">
        <v>43</v>
      </c>
      <c r="D13" s="3" t="s">
        <v>11</v>
      </c>
      <c r="E13" s="2" t="str">
        <f>_xlfn.XLOOKUP(A13,'Product Backlog'!$A$2:$A$74,'Product Backlog'!$E$2:$E$74)</f>
        <v>Sprint 2</v>
      </c>
      <c r="F13" s="2">
        <v>1</v>
      </c>
      <c r="G13" s="7" t="s">
        <v>22</v>
      </c>
      <c r="H13" s="2">
        <v>5</v>
      </c>
      <c r="I13" t="s">
        <v>250</v>
      </c>
    </row>
    <row r="14" spans="1:9">
      <c r="A14" s="2" t="s">
        <v>79</v>
      </c>
      <c r="B14" s="2" t="s">
        <v>80</v>
      </c>
      <c r="C14" s="2" t="s">
        <v>81</v>
      </c>
      <c r="D14" s="3" t="s">
        <v>11</v>
      </c>
      <c r="E14" s="2" t="str">
        <f>_xlfn.XLOOKUP(A14,'Product Backlog'!$A$2:$A$74,'Product Backlog'!$E$2:$E$74)</f>
        <v>Sprint 3</v>
      </c>
      <c r="F14" s="2">
        <v>1</v>
      </c>
      <c r="G14" s="7" t="s">
        <v>22</v>
      </c>
      <c r="H14" s="2">
        <v>5</v>
      </c>
      <c r="I14" t="s">
        <v>250</v>
      </c>
    </row>
    <row r="15" spans="1:9">
      <c r="A15" s="2" t="s">
        <v>154</v>
      </c>
      <c r="B15" s="2" t="s">
        <v>155</v>
      </c>
      <c r="C15" s="2" t="s">
        <v>156</v>
      </c>
      <c r="D15" s="3" t="s">
        <v>11</v>
      </c>
      <c r="E15" s="2" t="str">
        <f>_xlfn.XLOOKUP(A15,'Product Backlog'!$A$2:$A$74,'Product Backlog'!$E$2:$E$74)</f>
        <v>Sprint 6</v>
      </c>
      <c r="F15" s="2">
        <v>1</v>
      </c>
      <c r="G15" s="7" t="s">
        <v>22</v>
      </c>
      <c r="H15" s="2">
        <v>5</v>
      </c>
      <c r="I15" t="s">
        <v>250</v>
      </c>
    </row>
    <row r="16" spans="1:9">
      <c r="A16" s="2" t="s">
        <v>201</v>
      </c>
      <c r="B16" s="2" t="s">
        <v>202</v>
      </c>
      <c r="C16" s="2" t="s">
        <v>203</v>
      </c>
      <c r="D16" s="3" t="s">
        <v>11</v>
      </c>
      <c r="E16" s="2" t="str">
        <f>_xlfn.XLOOKUP(A16,'Product Backlog'!$A$2:$A$74,'Product Backlog'!$E$2:$E$74)</f>
        <v>Sprint 8</v>
      </c>
      <c r="F16" s="2">
        <v>1</v>
      </c>
      <c r="G16" s="7" t="s">
        <v>22</v>
      </c>
      <c r="H16" s="2">
        <v>5</v>
      </c>
      <c r="I16" t="s">
        <v>248</v>
      </c>
    </row>
    <row r="17" spans="1:9">
      <c r="A17" s="2" t="s">
        <v>19</v>
      </c>
      <c r="B17" s="2" t="s">
        <v>20</v>
      </c>
      <c r="C17" s="2" t="s">
        <v>21</v>
      </c>
      <c r="D17" s="3" t="s">
        <v>11</v>
      </c>
      <c r="E17" s="2" t="str">
        <f>_xlfn.XLOOKUP(A17,'Product Backlog'!$A$2:$A$74,'Product Backlog'!$E$2:$E$74)</f>
        <v>Sprint 1</v>
      </c>
      <c r="F17" s="2">
        <v>1</v>
      </c>
      <c r="G17" s="7" t="s">
        <v>22</v>
      </c>
      <c r="H17" s="2">
        <v>5</v>
      </c>
      <c r="I17" t="s">
        <v>248</v>
      </c>
    </row>
    <row r="18" spans="1:9">
      <c r="A18" s="2" t="s">
        <v>126</v>
      </c>
      <c r="B18" s="2" t="s">
        <v>127</v>
      </c>
      <c r="C18" s="2" t="s">
        <v>128</v>
      </c>
      <c r="D18" s="3" t="s">
        <v>11</v>
      </c>
      <c r="E18" s="2" t="str">
        <f>_xlfn.XLOOKUP(A18,'Product Backlog'!$A$2:$A$74,'Product Backlog'!$E$2:$E$74)</f>
        <v>Sprint 5</v>
      </c>
      <c r="F18" s="2">
        <v>1</v>
      </c>
      <c r="G18" s="7" t="s">
        <v>22</v>
      </c>
      <c r="H18" s="2">
        <v>5</v>
      </c>
      <c r="I18" t="s">
        <v>248</v>
      </c>
    </row>
    <row r="19" spans="1:9">
      <c r="A19" s="2" t="s">
        <v>44</v>
      </c>
      <c r="B19" s="2" t="s">
        <v>45</v>
      </c>
      <c r="C19" s="2" t="s">
        <v>46</v>
      </c>
      <c r="D19" s="3" t="s">
        <v>11</v>
      </c>
      <c r="E19" s="2" t="str">
        <f>_xlfn.XLOOKUP(A19,'Product Backlog'!$A$2:$A$74,'Product Backlog'!$E$2:$E$74)</f>
        <v>Sprint 2</v>
      </c>
      <c r="F19" s="2">
        <v>1</v>
      </c>
      <c r="G19" s="7" t="s">
        <v>22</v>
      </c>
      <c r="H19" s="2">
        <v>5</v>
      </c>
      <c r="I19" t="s">
        <v>251</v>
      </c>
    </row>
    <row r="20" spans="1:9">
      <c r="A20" s="2" t="s">
        <v>47</v>
      </c>
      <c r="B20" s="2" t="s">
        <v>48</v>
      </c>
      <c r="C20" s="2" t="s">
        <v>49</v>
      </c>
      <c r="D20" s="4" t="s">
        <v>26</v>
      </c>
      <c r="E20" s="2" t="str">
        <f>_xlfn.XLOOKUP(A20,'Product Backlog'!$A$2:$A$74,'Product Backlog'!$E$2:$E$74)</f>
        <v>Sprint 2</v>
      </c>
      <c r="F20" s="2">
        <v>2</v>
      </c>
      <c r="G20" s="7" t="s">
        <v>13</v>
      </c>
      <c r="H20" s="2">
        <v>8</v>
      </c>
      <c r="I20" t="s">
        <v>251</v>
      </c>
    </row>
    <row r="21" spans="1:9">
      <c r="A21" s="2" t="s">
        <v>229</v>
      </c>
      <c r="B21" s="2" t="s">
        <v>230</v>
      </c>
      <c r="C21" s="2" t="s">
        <v>231</v>
      </c>
      <c r="D21" s="3" t="s">
        <v>11</v>
      </c>
      <c r="E21" s="2" t="str">
        <f>_xlfn.XLOOKUP(A21,'Product Backlog'!$A$2:$A$74,'Product Backlog'!$E$2:$E$74)</f>
        <v>Sprint 9</v>
      </c>
      <c r="F21" s="2">
        <v>1</v>
      </c>
      <c r="G21" s="7" t="s">
        <v>30</v>
      </c>
      <c r="H21" s="2">
        <v>13</v>
      </c>
      <c r="I21" s="21" t="s">
        <v>252</v>
      </c>
    </row>
    <row r="22" spans="1:9">
      <c r="A22" s="2" t="s">
        <v>204</v>
      </c>
      <c r="B22" s="2" t="s">
        <v>205</v>
      </c>
      <c r="C22" s="2" t="s">
        <v>206</v>
      </c>
      <c r="D22" s="3" t="s">
        <v>11</v>
      </c>
      <c r="E22" s="2" t="str">
        <f>_xlfn.XLOOKUP(A22,'Product Backlog'!$A$2:$A$74,'Product Backlog'!$E$2:$E$74)</f>
        <v>Sprint 8</v>
      </c>
      <c r="F22" s="2">
        <v>1</v>
      </c>
      <c r="G22" s="7" t="s">
        <v>22</v>
      </c>
      <c r="H22" s="2">
        <v>5</v>
      </c>
      <c r="I22" s="21" t="s">
        <v>252</v>
      </c>
    </row>
    <row r="23" spans="1:9">
      <c r="A23" s="2" t="s">
        <v>129</v>
      </c>
      <c r="B23" s="2" t="s">
        <v>130</v>
      </c>
      <c r="C23" s="2" t="s">
        <v>131</v>
      </c>
      <c r="D23" s="3" t="s">
        <v>11</v>
      </c>
      <c r="E23" s="2" t="str">
        <f>_xlfn.XLOOKUP(A23,'Product Backlog'!$A$2:$A$74,'Product Backlog'!$E$2:$E$74)</f>
        <v>Sprint 5</v>
      </c>
      <c r="F23" s="2">
        <v>1</v>
      </c>
      <c r="G23" s="7" t="s">
        <v>22</v>
      </c>
      <c r="H23" s="2">
        <v>5</v>
      </c>
      <c r="I23" s="21" t="s">
        <v>252</v>
      </c>
    </row>
    <row r="24" spans="1:9">
      <c r="A24" s="2" t="s">
        <v>50</v>
      </c>
      <c r="B24" s="2" t="s">
        <v>51</v>
      </c>
      <c r="C24" s="2" t="s">
        <v>52</v>
      </c>
      <c r="D24" s="4" t="s">
        <v>26</v>
      </c>
      <c r="E24" s="2" t="str">
        <f>_xlfn.XLOOKUP(A24,'Product Backlog'!$A$2:$A$74,'Product Backlog'!$E$2:$E$74)</f>
        <v>Sprint 2</v>
      </c>
      <c r="F24" s="2">
        <v>2</v>
      </c>
      <c r="G24" s="7" t="s">
        <v>22</v>
      </c>
      <c r="H24" s="2">
        <v>5</v>
      </c>
      <c r="I24" s="21" t="s">
        <v>252</v>
      </c>
    </row>
    <row r="25" spans="1:9">
      <c r="A25" s="2" t="s">
        <v>23</v>
      </c>
      <c r="B25" s="2" t="s">
        <v>24</v>
      </c>
      <c r="C25" s="2" t="s">
        <v>25</v>
      </c>
      <c r="D25" s="4" t="s">
        <v>26</v>
      </c>
      <c r="E25" s="2" t="str">
        <f>_xlfn.XLOOKUP(A25,'Product Backlog'!$A$2:$A$74,'Product Backlog'!$E$2:$E$74)</f>
        <v>Sprint 1</v>
      </c>
      <c r="F25" s="2">
        <v>2</v>
      </c>
      <c r="G25" s="7" t="s">
        <v>13</v>
      </c>
      <c r="H25" s="2">
        <v>8</v>
      </c>
      <c r="I25" s="21" t="s">
        <v>252</v>
      </c>
    </row>
    <row r="26" spans="1:9">
      <c r="A26" s="2" t="s">
        <v>157</v>
      </c>
      <c r="B26" s="2" t="s">
        <v>158</v>
      </c>
      <c r="C26" s="2" t="s">
        <v>159</v>
      </c>
      <c r="D26" s="4" t="s">
        <v>26</v>
      </c>
      <c r="E26" s="2" t="str">
        <f>_xlfn.XLOOKUP(A26,'Product Backlog'!$A$2:$A$74,'Product Backlog'!$E$2:$E$74)</f>
        <v>Sprint 6</v>
      </c>
      <c r="F26" s="2">
        <v>2</v>
      </c>
      <c r="G26" s="7" t="s">
        <v>30</v>
      </c>
      <c r="H26" s="2">
        <v>13</v>
      </c>
      <c r="I26" t="s">
        <v>252</v>
      </c>
    </row>
    <row r="27" spans="1:9">
      <c r="A27" s="2" t="s">
        <v>132</v>
      </c>
      <c r="B27" s="2" t="s">
        <v>133</v>
      </c>
      <c r="C27" s="2" t="s">
        <v>134</v>
      </c>
      <c r="D27" s="4" t="s">
        <v>26</v>
      </c>
      <c r="E27" s="2" t="str">
        <f>_xlfn.XLOOKUP(A27,'Product Backlog'!$A$2:$A$74,'Product Backlog'!$E$2:$E$74)</f>
        <v>Sprint 5</v>
      </c>
      <c r="F27" s="2">
        <v>2</v>
      </c>
      <c r="G27" s="7" t="s">
        <v>30</v>
      </c>
      <c r="H27" s="2">
        <v>13</v>
      </c>
      <c r="I27" t="s">
        <v>253</v>
      </c>
    </row>
    <row r="28" spans="1:9">
      <c r="A28" s="2" t="s">
        <v>82</v>
      </c>
      <c r="B28" s="2" t="s">
        <v>83</v>
      </c>
      <c r="C28" s="2" t="s">
        <v>84</v>
      </c>
      <c r="D28" s="4" t="s">
        <v>26</v>
      </c>
      <c r="E28" s="2" t="str">
        <f>_xlfn.XLOOKUP(A28,'Product Backlog'!$A$2:$A$74,'Product Backlog'!$E$2:$E$74)</f>
        <v>Sprint 3</v>
      </c>
      <c r="F28" s="2">
        <v>2</v>
      </c>
      <c r="G28" s="7" t="s">
        <v>30</v>
      </c>
      <c r="H28" s="2">
        <v>13</v>
      </c>
      <c r="I28" t="s">
        <v>253</v>
      </c>
    </row>
    <row r="29" spans="1:9">
      <c r="A29" s="2" t="s">
        <v>179</v>
      </c>
      <c r="B29" s="2" t="s">
        <v>180</v>
      </c>
      <c r="C29" s="2" t="s">
        <v>181</v>
      </c>
      <c r="D29" s="4" t="s">
        <v>26</v>
      </c>
      <c r="E29" s="2" t="str">
        <f>_xlfn.XLOOKUP(A29,'Product Backlog'!$A$2:$A$74,'Product Backlog'!$E$2:$E$74)</f>
        <v>Sprint 7</v>
      </c>
      <c r="F29" s="2">
        <v>2</v>
      </c>
      <c r="G29" s="7" t="s">
        <v>30</v>
      </c>
      <c r="H29" s="2">
        <v>13</v>
      </c>
      <c r="I29" t="s">
        <v>253</v>
      </c>
    </row>
    <row r="30" spans="1:9">
      <c r="A30" s="2" t="s">
        <v>85</v>
      </c>
      <c r="B30" s="2" t="s">
        <v>86</v>
      </c>
      <c r="C30" s="2" t="s">
        <v>87</v>
      </c>
      <c r="D30" s="3" t="s">
        <v>11</v>
      </c>
      <c r="E30" s="2" t="str">
        <f>_xlfn.XLOOKUP(A30,'Product Backlog'!$A$2:$A$74,'Product Backlog'!$E$2:$E$74)</f>
        <v>Sprint 3</v>
      </c>
      <c r="F30" s="2">
        <v>1</v>
      </c>
      <c r="G30" s="7" t="s">
        <v>13</v>
      </c>
      <c r="H30" s="2">
        <v>8</v>
      </c>
      <c r="I30" t="s">
        <v>252</v>
      </c>
    </row>
    <row r="31" spans="1:9">
      <c r="A31" s="2" t="s">
        <v>207</v>
      </c>
      <c r="B31" s="2" t="s">
        <v>208</v>
      </c>
      <c r="C31" s="2" t="s">
        <v>209</v>
      </c>
      <c r="D31" s="3" t="s">
        <v>11</v>
      </c>
      <c r="E31" s="2" t="str">
        <f>_xlfn.XLOOKUP(A31,'Product Backlog'!$A$2:$A$74,'Product Backlog'!$E$2:$E$74)</f>
        <v>Sprint 8</v>
      </c>
      <c r="F31" s="2">
        <v>1</v>
      </c>
      <c r="G31" s="7" t="s">
        <v>22</v>
      </c>
      <c r="H31" s="2">
        <v>5</v>
      </c>
      <c r="I31" t="s">
        <v>252</v>
      </c>
    </row>
    <row r="32" spans="1:9">
      <c r="A32" s="2" t="s">
        <v>210</v>
      </c>
      <c r="B32" s="2" t="s">
        <v>211</v>
      </c>
      <c r="C32" s="2" t="s">
        <v>212</v>
      </c>
      <c r="D32" s="3" t="s">
        <v>11</v>
      </c>
      <c r="E32" s="2" t="str">
        <f>_xlfn.XLOOKUP(A32,'Product Backlog'!$A$2:$A$74,'Product Backlog'!$E$2:$E$74)</f>
        <v>Sprint 8</v>
      </c>
      <c r="F32" s="2">
        <v>1</v>
      </c>
      <c r="G32" s="7" t="s">
        <v>22</v>
      </c>
      <c r="H32" s="2">
        <v>5</v>
      </c>
      <c r="I32" t="s">
        <v>252</v>
      </c>
    </row>
    <row r="33" spans="1:9">
      <c r="A33" s="2" t="s">
        <v>213</v>
      </c>
      <c r="B33" s="2" t="s">
        <v>214</v>
      </c>
      <c r="C33" s="2" t="s">
        <v>215</v>
      </c>
      <c r="D33" s="3" t="s">
        <v>11</v>
      </c>
      <c r="E33" s="2" t="str">
        <f>_xlfn.XLOOKUP(A33,'Product Backlog'!$A$2:$A$74,'Product Backlog'!$E$2:$E$74)</f>
        <v>Sprint 8</v>
      </c>
      <c r="F33" s="2">
        <v>1</v>
      </c>
      <c r="G33" s="7" t="s">
        <v>62</v>
      </c>
      <c r="H33" s="2">
        <v>3</v>
      </c>
      <c r="I33" t="s">
        <v>253</v>
      </c>
    </row>
    <row r="34" spans="1:9">
      <c r="A34" s="2" t="s">
        <v>88</v>
      </c>
      <c r="B34" s="2" t="s">
        <v>89</v>
      </c>
      <c r="C34" s="2" t="s">
        <v>90</v>
      </c>
      <c r="D34" s="3" t="s">
        <v>11</v>
      </c>
      <c r="E34" s="2" t="str">
        <f>_xlfn.XLOOKUP(A34,'Product Backlog'!$A$2:$A$74,'Product Backlog'!$E$2:$E$74)</f>
        <v>Sprint 3</v>
      </c>
      <c r="F34" s="2">
        <v>1</v>
      </c>
      <c r="G34" s="7" t="s">
        <v>30</v>
      </c>
      <c r="H34" s="2">
        <v>13</v>
      </c>
      <c r="I34" t="s">
        <v>252</v>
      </c>
    </row>
    <row r="35" spans="1:9">
      <c r="A35" s="2" t="s">
        <v>56</v>
      </c>
      <c r="B35" s="2" t="s">
        <v>57</v>
      </c>
      <c r="C35" s="2" t="s">
        <v>58</v>
      </c>
      <c r="D35" s="3" t="s">
        <v>11</v>
      </c>
      <c r="E35" s="2" t="str">
        <f>_xlfn.XLOOKUP(A35,'Product Backlog'!$A$2:$A$74,'Product Backlog'!$E$2:$E$74)</f>
        <v>Sprint 2</v>
      </c>
      <c r="F35" s="2">
        <v>1</v>
      </c>
      <c r="G35" s="7" t="s">
        <v>30</v>
      </c>
      <c r="H35" s="2">
        <v>13</v>
      </c>
      <c r="I35" t="s">
        <v>251</v>
      </c>
    </row>
    <row r="36" spans="1:9">
      <c r="A36" s="2" t="s">
        <v>141</v>
      </c>
      <c r="B36" s="2" t="s">
        <v>142</v>
      </c>
      <c r="C36" s="2" t="s">
        <v>143</v>
      </c>
      <c r="D36" s="3" t="s">
        <v>11</v>
      </c>
      <c r="E36" s="2" t="str">
        <f>_xlfn.XLOOKUP(A36,'Product Backlog'!$A$2:$A$74,'Product Backlog'!$E$2:$E$74)</f>
        <v>Sprint 5</v>
      </c>
      <c r="F36" s="2">
        <v>1</v>
      </c>
      <c r="G36" s="7" t="s">
        <v>22</v>
      </c>
      <c r="H36" s="2">
        <v>5</v>
      </c>
      <c r="I36" t="s">
        <v>251</v>
      </c>
    </row>
    <row r="37" spans="1:9">
      <c r="A37" s="2" t="s">
        <v>188</v>
      </c>
      <c r="B37" s="2" t="s">
        <v>189</v>
      </c>
      <c r="C37" s="2" t="s">
        <v>190</v>
      </c>
      <c r="D37" s="3" t="s">
        <v>11</v>
      </c>
      <c r="E37" s="2" t="str">
        <f>_xlfn.XLOOKUP(A37,'Product Backlog'!$A$2:$A$74,'Product Backlog'!$E$2:$E$74)</f>
        <v>Sprint 7</v>
      </c>
      <c r="F37" s="2">
        <v>1</v>
      </c>
      <c r="G37" s="7" t="s">
        <v>22</v>
      </c>
      <c r="H37" s="2">
        <v>5</v>
      </c>
      <c r="I37" t="s">
        <v>251</v>
      </c>
    </row>
    <row r="38" spans="1:9">
      <c r="A38" s="2" t="s">
        <v>163</v>
      </c>
      <c r="B38" s="2" t="s">
        <v>164</v>
      </c>
      <c r="C38" s="2" t="s">
        <v>165</v>
      </c>
      <c r="D38" s="4" t="s">
        <v>26</v>
      </c>
      <c r="E38" s="2" t="str">
        <f>_xlfn.XLOOKUP(A38,'Product Backlog'!$A$2:$A$74,'Product Backlog'!$E$2:$E$74)</f>
        <v>Sprint 6</v>
      </c>
      <c r="F38" s="2">
        <v>2</v>
      </c>
      <c r="G38" s="7" t="s">
        <v>30</v>
      </c>
      <c r="H38" s="2">
        <v>13</v>
      </c>
      <c r="I38" t="s">
        <v>250</v>
      </c>
    </row>
    <row r="39" spans="1:9">
      <c r="A39" s="2" t="s">
        <v>238</v>
      </c>
      <c r="B39" s="2" t="s">
        <v>239</v>
      </c>
      <c r="C39" s="2" t="s">
        <v>240</v>
      </c>
      <c r="D39" s="4" t="s">
        <v>26</v>
      </c>
      <c r="E39" s="2" t="str">
        <f>_xlfn.XLOOKUP(A39,'Product Backlog'!$A$2:$A$74,'Product Backlog'!$E$2:$E$74)</f>
        <v>Sprint 9</v>
      </c>
      <c r="F39" s="2">
        <v>2</v>
      </c>
      <c r="G39" s="7" t="s">
        <v>22</v>
      </c>
      <c r="H39" s="2">
        <v>5</v>
      </c>
      <c r="I39" t="s">
        <v>250</v>
      </c>
    </row>
    <row r="40" spans="1:9">
      <c r="A40" s="2" t="s">
        <v>166</v>
      </c>
      <c r="B40" s="2" t="s">
        <v>167</v>
      </c>
      <c r="C40" s="2" t="s">
        <v>168</v>
      </c>
      <c r="D40" s="4" t="s">
        <v>26</v>
      </c>
      <c r="E40" s="2" t="str">
        <f>_xlfn.XLOOKUP(A40,'Product Backlog'!$A$2:$A$74,'Product Backlog'!$E$2:$E$74)</f>
        <v>Sprint 6</v>
      </c>
      <c r="F40" s="2">
        <v>2</v>
      </c>
      <c r="G40" s="7" t="s">
        <v>22</v>
      </c>
      <c r="H40" s="2">
        <v>5</v>
      </c>
      <c r="I40" t="s">
        <v>250</v>
      </c>
    </row>
    <row r="41" spans="1:9">
      <c r="A41" s="2" t="s">
        <v>34</v>
      </c>
      <c r="B41" s="2" t="s">
        <v>35</v>
      </c>
      <c r="C41" s="2" t="s">
        <v>36</v>
      </c>
      <c r="D41" s="5" t="s">
        <v>17</v>
      </c>
      <c r="E41" s="2" t="str">
        <f>_xlfn.XLOOKUP(A41,'Product Backlog'!$A$2:$A$74,'Product Backlog'!$E$2:$E$74)</f>
        <v>Sprint 1</v>
      </c>
      <c r="F41" s="2">
        <v>3</v>
      </c>
      <c r="G41" s="7" t="s">
        <v>13</v>
      </c>
      <c r="H41" s="2">
        <v>8</v>
      </c>
      <c r="I41" t="s">
        <v>250</v>
      </c>
    </row>
    <row r="42" spans="1:9">
      <c r="A42" s="2" t="s">
        <v>59</v>
      </c>
      <c r="B42" s="2" t="s">
        <v>60</v>
      </c>
      <c r="C42" s="2" t="s">
        <v>61</v>
      </c>
      <c r="D42" s="5" t="s">
        <v>17</v>
      </c>
      <c r="E42" s="2" t="str">
        <f>_xlfn.XLOOKUP(A42,'Product Backlog'!$A$2:$A$74,'Product Backlog'!$E$2:$E$74)</f>
        <v>Sprint 2</v>
      </c>
      <c r="F42" s="2">
        <v>3</v>
      </c>
      <c r="G42" s="7" t="s">
        <v>62</v>
      </c>
      <c r="H42" s="2">
        <v>3</v>
      </c>
      <c r="I42" t="s">
        <v>252</v>
      </c>
    </row>
    <row r="43" spans="1:9">
      <c r="A43" s="2" t="s">
        <v>144</v>
      </c>
      <c r="B43" s="2" t="s">
        <v>145</v>
      </c>
      <c r="C43" s="2" t="s">
        <v>146</v>
      </c>
      <c r="D43" s="5" t="s">
        <v>17</v>
      </c>
      <c r="E43" s="2" t="str">
        <f>_xlfn.XLOOKUP(A43,'Product Backlog'!$A$2:$A$74,'Product Backlog'!$E$2:$E$74)</f>
        <v>Sprint 5</v>
      </c>
      <c r="F43" s="2">
        <v>3</v>
      </c>
      <c r="G43" s="7" t="s">
        <v>22</v>
      </c>
      <c r="H43" s="2">
        <v>5</v>
      </c>
      <c r="I43" t="s">
        <v>252</v>
      </c>
    </row>
    <row r="44" spans="1:9">
      <c r="A44" s="2" t="s">
        <v>222</v>
      </c>
      <c r="B44" s="2" t="s">
        <v>223</v>
      </c>
      <c r="C44" s="2" t="s">
        <v>224</v>
      </c>
      <c r="D44" s="3" t="s">
        <v>11</v>
      </c>
      <c r="E44" s="2" t="str">
        <f>_xlfn.XLOOKUP(A44,'Product Backlog'!$A$2:$A$74,'Product Backlog'!$E$2:$E$74)</f>
        <v>Sprint 8</v>
      </c>
      <c r="F44" s="2">
        <v>1</v>
      </c>
      <c r="G44" s="7" t="s">
        <v>62</v>
      </c>
      <c r="H44" s="2">
        <v>3</v>
      </c>
      <c r="I44" t="s">
        <v>250</v>
      </c>
    </row>
    <row r="45" spans="1:9">
      <c r="A45" s="2" t="s">
        <v>147</v>
      </c>
      <c r="B45" s="2" t="s">
        <v>148</v>
      </c>
      <c r="C45" s="2" t="s">
        <v>149</v>
      </c>
      <c r="D45" s="3" t="s">
        <v>11</v>
      </c>
      <c r="E45" s="2" t="str">
        <f>_xlfn.XLOOKUP(A45,'Product Backlog'!$A$2:$A$74,'Product Backlog'!$E$2:$E$74)</f>
        <v>Sprint 5</v>
      </c>
      <c r="F45" s="2">
        <v>1</v>
      </c>
      <c r="G45" s="7" t="s">
        <v>62</v>
      </c>
      <c r="H45" s="2">
        <v>3</v>
      </c>
      <c r="I45" t="s">
        <v>250</v>
      </c>
    </row>
    <row r="46" spans="1:9">
      <c r="A46" s="2" t="s">
        <v>169</v>
      </c>
      <c r="B46" s="2" t="s">
        <v>170</v>
      </c>
      <c r="C46" s="2" t="s">
        <v>171</v>
      </c>
      <c r="D46" s="4" t="s">
        <v>26</v>
      </c>
      <c r="E46" s="2" t="str">
        <f>_xlfn.XLOOKUP(A46,'Product Backlog'!$A$2:$A$74,'Product Backlog'!$E$2:$E$74)</f>
        <v>Sprint 6</v>
      </c>
      <c r="F46" s="2">
        <v>2</v>
      </c>
      <c r="G46" s="7" t="s">
        <v>13</v>
      </c>
      <c r="H46" s="2">
        <v>8</v>
      </c>
      <c r="I46" t="s">
        <v>250</v>
      </c>
    </row>
    <row r="47" spans="1:9">
      <c r="A47" s="2" t="s">
        <v>63</v>
      </c>
      <c r="B47" s="2" t="s">
        <v>64</v>
      </c>
      <c r="C47" s="2" t="s">
        <v>65</v>
      </c>
      <c r="D47" s="4" t="s">
        <v>26</v>
      </c>
      <c r="E47" s="2" t="str">
        <f>_xlfn.XLOOKUP(A47,'Product Backlog'!$A$2:$A$74,'Product Backlog'!$E$2:$E$74)</f>
        <v>Sprint 2</v>
      </c>
      <c r="F47" s="2">
        <v>2</v>
      </c>
      <c r="G47" s="7" t="s">
        <v>13</v>
      </c>
      <c r="H47" s="2">
        <v>8</v>
      </c>
      <c r="I47" t="s">
        <v>250</v>
      </c>
    </row>
    <row r="48" spans="1:9">
      <c r="A48" s="2" t="s">
        <v>241</v>
      </c>
      <c r="B48" s="2" t="s">
        <v>242</v>
      </c>
      <c r="C48" s="2" t="s">
        <v>243</v>
      </c>
      <c r="D48" s="4" t="s">
        <v>26</v>
      </c>
      <c r="E48" s="2" t="str">
        <f>_xlfn.XLOOKUP(A48,'Product Backlog'!$A$2:$A$74,'Product Backlog'!$E$2:$E$74)</f>
        <v>Sprint 9</v>
      </c>
      <c r="F48" s="2">
        <v>2</v>
      </c>
      <c r="G48" s="7" t="s">
        <v>30</v>
      </c>
      <c r="H48" s="2">
        <v>13</v>
      </c>
      <c r="I48" t="s">
        <v>253</v>
      </c>
    </row>
    <row r="49" spans="1:9">
      <c r="A49" s="2" t="s">
        <v>66</v>
      </c>
      <c r="B49" s="2" t="s">
        <v>67</v>
      </c>
      <c r="C49" s="2" t="s">
        <v>68</v>
      </c>
      <c r="D49" s="4" t="s">
        <v>26</v>
      </c>
      <c r="E49" s="2" t="str">
        <f>_xlfn.XLOOKUP(A49,'Product Backlog'!$A$2:$A$74,'Product Backlog'!$E$2:$E$74)</f>
        <v>Sprint 2</v>
      </c>
      <c r="F49" s="2">
        <v>2</v>
      </c>
      <c r="G49" s="7" t="s">
        <v>30</v>
      </c>
      <c r="H49" s="2">
        <v>13</v>
      </c>
      <c r="I49" t="s">
        <v>252</v>
      </c>
    </row>
    <row r="50" spans="1:9">
      <c r="A50" s="2" t="s">
        <v>119</v>
      </c>
      <c r="B50" s="2" t="s">
        <v>120</v>
      </c>
      <c r="C50" s="2" t="s">
        <v>121</v>
      </c>
      <c r="D50" s="4" t="s">
        <v>26</v>
      </c>
      <c r="E50" s="2" t="str">
        <f>_xlfn.XLOOKUP(A50,'Product Backlog'!$A$2:$A$74,'Product Backlog'!$E$2:$E$74)</f>
        <v>Sprint 4</v>
      </c>
      <c r="F50" s="2">
        <v>2</v>
      </c>
      <c r="G50" s="7" t="s">
        <v>30</v>
      </c>
      <c r="H50" s="2">
        <v>13</v>
      </c>
      <c r="I50" t="s">
        <v>253</v>
      </c>
    </row>
    <row r="51" spans="1:9">
      <c r="A51" s="2" t="s">
        <v>94</v>
      </c>
      <c r="B51" s="2" t="s">
        <v>95</v>
      </c>
      <c r="C51" s="2" t="s">
        <v>96</v>
      </c>
      <c r="D51" s="4" t="s">
        <v>26</v>
      </c>
      <c r="E51" s="2" t="str">
        <f>_xlfn.XLOOKUP(A51,'Product Backlog'!$A$2:$A$74,'Product Backlog'!$E$2:$E$74)</f>
        <v>Sprint 3</v>
      </c>
      <c r="F51" s="2">
        <v>2</v>
      </c>
      <c r="G51" s="7" t="s">
        <v>30</v>
      </c>
      <c r="H51" s="2">
        <v>13</v>
      </c>
      <c r="I51" t="s">
        <v>252</v>
      </c>
    </row>
    <row r="64" spans="1:9">
      <c r="C64" s="16"/>
      <c r="D64" s="17"/>
    </row>
    <row r="65" spans="3:4">
      <c r="C65" s="16"/>
      <c r="D65" s="17"/>
    </row>
    <row r="66" spans="3:4">
      <c r="C66" s="16"/>
      <c r="D66" s="17"/>
    </row>
    <row r="67" spans="3:4">
      <c r="C67" s="16"/>
      <c r="D67" s="17"/>
    </row>
    <row r="68" spans="3:4">
      <c r="C68" s="16"/>
      <c r="D68" s="17"/>
    </row>
    <row r="69" spans="3:4">
      <c r="C69" s="16"/>
      <c r="D69" s="17"/>
    </row>
    <row r="70" spans="3:4">
      <c r="C70" s="16"/>
      <c r="D70" s="17"/>
    </row>
    <row r="71" spans="3:4">
      <c r="C71" s="16"/>
      <c r="D71" s="17"/>
    </row>
    <row r="72" spans="3:4">
      <c r="C72" s="16"/>
      <c r="D72" s="17"/>
    </row>
  </sheetData>
  <conditionalFormatting sqref="G2:G51">
    <cfRule type="cellIs" dxfId="16" priority="1" operator="equal">
      <formula>"GG"</formula>
    </cfRule>
    <cfRule type="cellIs" dxfId="15" priority="2" operator="equal">
      <formula>"G"</formula>
    </cfRule>
    <cfRule type="cellIs" dxfId="14" priority="3" operator="equal">
      <formula>"M"</formula>
    </cfRule>
    <cfRule type="cellIs" dxfId="13" priority="4" operator="equal">
      <formula>"P"</formula>
    </cfRule>
    <cfRule type="cellIs" dxfId="12" priority="5" operator="equal">
      <formula>"PP"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0C1F-1C56-44CC-8E9B-C648D583D28A}">
  <dimension ref="A1:H24"/>
  <sheetViews>
    <sheetView workbookViewId="0">
      <selection activeCell="C13" sqref="C13"/>
    </sheetView>
  </sheetViews>
  <sheetFormatPr defaultColWidth="104.42578125" defaultRowHeight="15"/>
  <cols>
    <col min="1" max="1" width="7.28515625" bestFit="1" customWidth="1"/>
    <col min="2" max="2" width="43.42578125" bestFit="1" customWidth="1"/>
    <col min="3" max="3" width="88.85546875" bestFit="1" customWidth="1"/>
    <col min="4" max="4" width="12.140625" bestFit="1" customWidth="1"/>
    <col min="5" max="5" width="7.7109375" bestFit="1" customWidth="1"/>
    <col min="6" max="6" width="10.28515625" bestFit="1" customWidth="1"/>
    <col min="7" max="7" width="14" bestFit="1" customWidth="1"/>
    <col min="8" max="8" width="7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</row>
    <row r="2" spans="1:8">
      <c r="A2" s="2" t="s">
        <v>104</v>
      </c>
      <c r="B2" s="2" t="s">
        <v>105</v>
      </c>
      <c r="C2" s="2" t="s">
        <v>106</v>
      </c>
      <c r="D2" s="4" t="s">
        <v>26</v>
      </c>
      <c r="E2" s="2" t="str">
        <f>_xlfn.XLOOKUP(A2,'Product Backlog'!$A$2:$A$74,'Product Backlog'!$E$2:$E$74)</f>
        <v>Sprint 4</v>
      </c>
      <c r="F2" s="2">
        <v>2</v>
      </c>
      <c r="G2" s="7" t="s">
        <v>62</v>
      </c>
      <c r="H2" s="2">
        <v>3</v>
      </c>
    </row>
    <row r="3" spans="1:8">
      <c r="A3" s="2" t="s">
        <v>225</v>
      </c>
      <c r="B3" s="2" t="s">
        <v>226</v>
      </c>
      <c r="C3" s="2" t="s">
        <v>227</v>
      </c>
      <c r="D3" s="5" t="s">
        <v>17</v>
      </c>
      <c r="E3" s="2" t="str">
        <f>_xlfn.XLOOKUP(A3,'Product Backlog'!$A$2:$A$74,'Product Backlog'!$E$2:$E$74)</f>
        <v>Sprint 9</v>
      </c>
      <c r="F3" s="2">
        <v>3</v>
      </c>
      <c r="G3" s="7" t="s">
        <v>22</v>
      </c>
      <c r="H3" s="2">
        <v>5</v>
      </c>
    </row>
    <row r="4" spans="1:8">
      <c r="A4" s="2" t="s">
        <v>176</v>
      </c>
      <c r="B4" s="2" t="s">
        <v>177</v>
      </c>
      <c r="C4" s="2" t="s">
        <v>178</v>
      </c>
      <c r="D4" s="3" t="s">
        <v>11</v>
      </c>
      <c r="E4" s="2" t="str">
        <f>_xlfn.XLOOKUP(A4,'Product Backlog'!$A$2:$A$74,'Product Backlog'!$E$2:$E$74)</f>
        <v>Sprint 7</v>
      </c>
      <c r="F4" s="2">
        <v>1</v>
      </c>
      <c r="G4" s="7" t="s">
        <v>22</v>
      </c>
      <c r="H4" s="2">
        <v>5</v>
      </c>
    </row>
    <row r="5" spans="1:8">
      <c r="A5" s="2" t="s">
        <v>122</v>
      </c>
      <c r="B5" s="2" t="s">
        <v>123</v>
      </c>
      <c r="C5" s="2" t="s">
        <v>124</v>
      </c>
      <c r="D5" s="3" t="s">
        <v>11</v>
      </c>
      <c r="E5" s="2" t="str">
        <f>_xlfn.XLOOKUP(A5,'Product Backlog'!$A$2:$A$74,'Product Backlog'!$E$2:$E$74)</f>
        <v>Sprint 5</v>
      </c>
      <c r="F5" s="2">
        <v>1</v>
      </c>
      <c r="G5" s="7" t="s">
        <v>13</v>
      </c>
      <c r="H5" s="2">
        <v>8</v>
      </c>
    </row>
    <row r="6" spans="1:8">
      <c r="A6" s="2" t="s">
        <v>107</v>
      </c>
      <c r="B6" s="2" t="s">
        <v>108</v>
      </c>
      <c r="C6" s="2" t="s">
        <v>109</v>
      </c>
      <c r="D6" s="5" t="s">
        <v>17</v>
      </c>
      <c r="E6" s="2" t="str">
        <f>_xlfn.XLOOKUP(A6,'Product Backlog'!$A$2:$A$74,'Product Backlog'!$E$2:$E$74)</f>
        <v>Sprint 4</v>
      </c>
      <c r="F6" s="2">
        <v>3</v>
      </c>
      <c r="G6" s="7" t="s">
        <v>22</v>
      </c>
      <c r="H6" s="2">
        <v>5</v>
      </c>
    </row>
    <row r="7" spans="1:8">
      <c r="A7" s="2" t="s">
        <v>76</v>
      </c>
      <c r="B7" s="2" t="s">
        <v>77</v>
      </c>
      <c r="C7" s="2" t="s">
        <v>78</v>
      </c>
      <c r="D7" s="5" t="s">
        <v>17</v>
      </c>
      <c r="E7" s="2" t="str">
        <f>_xlfn.XLOOKUP(A7,'Product Backlog'!$A$2:$A$74,'Product Backlog'!$E$2:$E$74)</f>
        <v>Sprint 3</v>
      </c>
      <c r="F7" s="2">
        <v>3</v>
      </c>
      <c r="G7" s="7" t="s">
        <v>22</v>
      </c>
      <c r="H7" s="2">
        <v>5</v>
      </c>
    </row>
    <row r="8" spans="1:8">
      <c r="A8" s="2" t="s">
        <v>14</v>
      </c>
      <c r="B8" s="2" t="s">
        <v>15</v>
      </c>
      <c r="C8" s="2" t="s">
        <v>16</v>
      </c>
      <c r="D8" s="5" t="s">
        <v>17</v>
      </c>
      <c r="E8" s="2" t="str">
        <f>_xlfn.XLOOKUP(A8,'Product Backlog'!$A$2:$A$74,'Product Backlog'!$E$2:$E$74)</f>
        <v>Sprint 1</v>
      </c>
      <c r="F8" s="2">
        <v>3</v>
      </c>
      <c r="G8" s="7" t="s">
        <v>18</v>
      </c>
      <c r="H8" s="2">
        <v>21</v>
      </c>
    </row>
    <row r="9" spans="1:8">
      <c r="A9" s="2" t="s">
        <v>53</v>
      </c>
      <c r="B9" s="2" t="s">
        <v>54</v>
      </c>
      <c r="C9" s="2" t="s">
        <v>55</v>
      </c>
      <c r="D9" s="3" t="s">
        <v>11</v>
      </c>
      <c r="E9" s="2" t="str">
        <f>_xlfn.XLOOKUP(A9,'Product Backlog'!$A$2:$A$74,'Product Backlog'!$E$2:$E$74)</f>
        <v>Sprint 2</v>
      </c>
      <c r="F9" s="2">
        <v>1</v>
      </c>
      <c r="G9" s="7" t="s">
        <v>13</v>
      </c>
      <c r="H9" s="2">
        <v>8</v>
      </c>
    </row>
    <row r="10" spans="1:8">
      <c r="A10" s="2" t="s">
        <v>135</v>
      </c>
      <c r="B10" s="2" t="s">
        <v>136</v>
      </c>
      <c r="C10" s="2" t="s">
        <v>137</v>
      </c>
      <c r="D10" s="3" t="s">
        <v>11</v>
      </c>
      <c r="E10" s="2" t="str">
        <f>_xlfn.XLOOKUP(A10,'Product Backlog'!$A$2:$A$74,'Product Backlog'!$E$2:$E$74)</f>
        <v>Sprint 5</v>
      </c>
      <c r="F10" s="2">
        <v>1</v>
      </c>
      <c r="G10" s="7" t="s">
        <v>13</v>
      </c>
      <c r="H10" s="2">
        <v>8</v>
      </c>
    </row>
    <row r="11" spans="1:8">
      <c r="A11" s="2" t="s">
        <v>27</v>
      </c>
      <c r="B11" s="2" t="s">
        <v>28</v>
      </c>
      <c r="C11" s="2" t="s">
        <v>29</v>
      </c>
      <c r="D11" s="3" t="s">
        <v>11</v>
      </c>
      <c r="E11" s="2" t="str">
        <f>_xlfn.XLOOKUP(A11,'Product Backlog'!$A$2:$A$74,'Product Backlog'!$E$2:$E$74)</f>
        <v>Sprint 1</v>
      </c>
      <c r="F11" s="2">
        <v>1</v>
      </c>
      <c r="G11" s="7" t="s">
        <v>30</v>
      </c>
      <c r="H11" s="2">
        <v>13</v>
      </c>
    </row>
    <row r="12" spans="1:8">
      <c r="A12" s="2" t="s">
        <v>232</v>
      </c>
      <c r="B12" s="2" t="s">
        <v>233</v>
      </c>
      <c r="C12" s="2" t="s">
        <v>234</v>
      </c>
      <c r="D12" s="3" t="s">
        <v>11</v>
      </c>
      <c r="E12" s="2" t="str">
        <f>_xlfn.XLOOKUP(A12,'Product Backlog'!$A$2:$A$74,'Product Backlog'!$E$2:$E$74)</f>
        <v>Sprint 9</v>
      </c>
      <c r="F12" s="2">
        <v>1</v>
      </c>
      <c r="G12" s="7" t="s">
        <v>30</v>
      </c>
      <c r="H12" s="2">
        <v>13</v>
      </c>
    </row>
    <row r="13" spans="1:8">
      <c r="A13" s="2" t="s">
        <v>235</v>
      </c>
      <c r="B13" s="2" t="s">
        <v>236</v>
      </c>
      <c r="C13" s="2" t="s">
        <v>237</v>
      </c>
      <c r="D13" s="4" t="s">
        <v>26</v>
      </c>
      <c r="E13" s="2" t="str">
        <f>_xlfn.XLOOKUP(A13,'Product Backlog'!$A$2:$A$74,'Product Backlog'!$E$2:$E$74)</f>
        <v>Sprint 9</v>
      </c>
      <c r="F13" s="2">
        <v>2</v>
      </c>
      <c r="G13" s="7" t="s">
        <v>18</v>
      </c>
      <c r="H13" s="2">
        <v>21</v>
      </c>
    </row>
    <row r="14" spans="1:8">
      <c r="A14" s="2" t="s">
        <v>110</v>
      </c>
      <c r="B14" s="2" t="s">
        <v>111</v>
      </c>
      <c r="C14" s="2" t="s">
        <v>112</v>
      </c>
      <c r="D14" s="3" t="s">
        <v>11</v>
      </c>
      <c r="E14" s="2" t="str">
        <f>_xlfn.XLOOKUP(A14,'Product Backlog'!$A$2:$A$74,'Product Backlog'!$E$2:$E$74)</f>
        <v>Sprint 4</v>
      </c>
      <c r="F14" s="2">
        <v>1</v>
      </c>
      <c r="G14" s="7" t="s">
        <v>18</v>
      </c>
      <c r="H14" s="2">
        <v>21</v>
      </c>
    </row>
    <row r="15" spans="1:8">
      <c r="A15" s="2" t="s">
        <v>182</v>
      </c>
      <c r="B15" s="2" t="s">
        <v>183</v>
      </c>
      <c r="C15" s="2" t="s">
        <v>184</v>
      </c>
      <c r="D15" s="3" t="s">
        <v>11</v>
      </c>
      <c r="E15" s="2" t="str">
        <f>_xlfn.XLOOKUP(A15,'Product Backlog'!$A$2:$A$74,'Product Backlog'!$E$2:$E$74)</f>
        <v>Sprint 7</v>
      </c>
      <c r="F15" s="2">
        <v>1</v>
      </c>
      <c r="G15" s="7" t="s">
        <v>18</v>
      </c>
      <c r="H15" s="2">
        <v>21</v>
      </c>
    </row>
    <row r="16" spans="1:8">
      <c r="A16" s="2" t="s">
        <v>138</v>
      </c>
      <c r="B16" s="2" t="s">
        <v>139</v>
      </c>
      <c r="C16" s="2" t="s">
        <v>140</v>
      </c>
      <c r="D16" s="5" t="s">
        <v>17</v>
      </c>
      <c r="E16" s="2" t="str">
        <f>_xlfn.XLOOKUP(A16,'Product Backlog'!$A$2:$A$74,'Product Backlog'!$E$2:$E$74)</f>
        <v>Sprint 5</v>
      </c>
      <c r="F16" s="2">
        <v>3</v>
      </c>
      <c r="G16" s="7" t="s">
        <v>18</v>
      </c>
      <c r="H16" s="2">
        <v>21</v>
      </c>
    </row>
    <row r="17" spans="1:8">
      <c r="A17" s="2" t="s">
        <v>185</v>
      </c>
      <c r="B17" s="2" t="s">
        <v>186</v>
      </c>
      <c r="C17" s="2" t="s">
        <v>187</v>
      </c>
      <c r="D17" s="5" t="s">
        <v>17</v>
      </c>
      <c r="E17" s="2" t="str">
        <f>_xlfn.XLOOKUP(A17,'Product Backlog'!$A$2:$A$74,'Product Backlog'!$E$2:$E$74)</f>
        <v>Sprint 7</v>
      </c>
      <c r="F17" s="2">
        <v>3</v>
      </c>
      <c r="G17" s="7" t="s">
        <v>18</v>
      </c>
      <c r="H17" s="2">
        <v>21</v>
      </c>
    </row>
    <row r="18" spans="1:8">
      <c r="A18" s="2" t="s">
        <v>216</v>
      </c>
      <c r="B18" s="2" t="s">
        <v>217</v>
      </c>
      <c r="C18" s="2" t="s">
        <v>218</v>
      </c>
      <c r="D18" s="5" t="s">
        <v>17</v>
      </c>
      <c r="E18" s="2" t="str">
        <f>_xlfn.XLOOKUP(A18,'Product Backlog'!$A$2:$A$74,'Product Backlog'!$E$2:$E$74)</f>
        <v>Sprint 8</v>
      </c>
      <c r="F18" s="2">
        <v>3</v>
      </c>
      <c r="G18" s="7" t="s">
        <v>18</v>
      </c>
      <c r="H18" s="2">
        <v>21</v>
      </c>
    </row>
    <row r="19" spans="1:8">
      <c r="A19" s="2" t="s">
        <v>219</v>
      </c>
      <c r="B19" s="2" t="s">
        <v>220</v>
      </c>
      <c r="C19" s="2" t="s">
        <v>221</v>
      </c>
      <c r="D19" s="4" t="s">
        <v>26</v>
      </c>
      <c r="E19" s="2" t="str">
        <f>_xlfn.XLOOKUP(A19,'Product Backlog'!$A$2:$A$74,'Product Backlog'!$E$2:$E$74)</f>
        <v>Sprint 8</v>
      </c>
      <c r="F19" s="2">
        <v>2</v>
      </c>
      <c r="G19" s="7" t="s">
        <v>30</v>
      </c>
      <c r="H19" s="2">
        <v>13</v>
      </c>
    </row>
    <row r="20" spans="1:8">
      <c r="A20" s="2" t="s">
        <v>91</v>
      </c>
      <c r="B20" s="2" t="s">
        <v>92</v>
      </c>
      <c r="C20" s="2" t="s">
        <v>93</v>
      </c>
      <c r="D20" s="4" t="s">
        <v>26</v>
      </c>
      <c r="E20" s="2" t="str">
        <f>_xlfn.XLOOKUP(A20,'Product Backlog'!$A$2:$A$74,'Product Backlog'!$E$2:$E$74)</f>
        <v>Sprint 3</v>
      </c>
      <c r="F20" s="2">
        <v>2</v>
      </c>
      <c r="G20" s="7" t="s">
        <v>22</v>
      </c>
      <c r="H20" s="2">
        <v>5</v>
      </c>
    </row>
    <row r="21" spans="1:8">
      <c r="A21" s="2" t="s">
        <v>113</v>
      </c>
      <c r="B21" s="2" t="s">
        <v>114</v>
      </c>
      <c r="C21" s="2" t="s">
        <v>115</v>
      </c>
      <c r="D21" s="4" t="s">
        <v>26</v>
      </c>
      <c r="E21" s="2" t="str">
        <f>_xlfn.XLOOKUP(A21,'Product Backlog'!$A$2:$A$74,'Product Backlog'!$E$2:$E$74)</f>
        <v>Sprint 4</v>
      </c>
      <c r="F21" s="2">
        <v>2</v>
      </c>
      <c r="G21" s="7" t="s">
        <v>13</v>
      </c>
      <c r="H21" s="2">
        <v>8</v>
      </c>
    </row>
    <row r="22" spans="1:8">
      <c r="A22" s="2" t="s">
        <v>160</v>
      </c>
      <c r="B22" s="2" t="s">
        <v>161</v>
      </c>
      <c r="C22" s="2" t="s">
        <v>162</v>
      </c>
      <c r="D22" s="3" t="s">
        <v>11</v>
      </c>
      <c r="E22" s="2" t="str">
        <f>_xlfn.XLOOKUP(A22,'Product Backlog'!$A$2:$A$74,'Product Backlog'!$E$2:$E$74)</f>
        <v>Sprint 6</v>
      </c>
      <c r="F22" s="2">
        <v>1</v>
      </c>
      <c r="G22" s="7" t="s">
        <v>18</v>
      </c>
      <c r="H22" s="2">
        <v>21</v>
      </c>
    </row>
    <row r="23" spans="1:8">
      <c r="A23" s="2" t="s">
        <v>31</v>
      </c>
      <c r="B23" s="2" t="s">
        <v>32</v>
      </c>
      <c r="C23" s="2" t="s">
        <v>33</v>
      </c>
      <c r="D23" s="3" t="s">
        <v>11</v>
      </c>
      <c r="E23" s="2" t="str">
        <f>_xlfn.XLOOKUP(A23,'Product Backlog'!$A$2:$A$74,'Product Backlog'!$E$2:$E$74)</f>
        <v>Sprint 1</v>
      </c>
      <c r="F23" s="2">
        <v>1</v>
      </c>
      <c r="G23" s="7" t="s">
        <v>30</v>
      </c>
      <c r="H23" s="2">
        <v>13</v>
      </c>
    </row>
    <row r="24" spans="1:8">
      <c r="A24" s="2" t="s">
        <v>116</v>
      </c>
      <c r="B24" s="2" t="s">
        <v>117</v>
      </c>
      <c r="C24" s="2" t="s">
        <v>118</v>
      </c>
      <c r="D24" s="3" t="s">
        <v>11</v>
      </c>
      <c r="E24" s="2" t="str">
        <f>_xlfn.XLOOKUP(A24,'Product Backlog'!$A$2:$A$74,'Product Backlog'!$E$2:$E$74)</f>
        <v>Sprint 4</v>
      </c>
      <c r="F24" s="2">
        <v>1</v>
      </c>
      <c r="G24" s="7" t="s">
        <v>30</v>
      </c>
      <c r="H24" s="2">
        <v>13</v>
      </c>
    </row>
  </sheetData>
  <conditionalFormatting sqref="G2:G24">
    <cfRule type="cellIs" dxfId="11" priority="1" operator="equal">
      <formula>"GG"</formula>
    </cfRule>
    <cfRule type="cellIs" dxfId="10" priority="2" operator="equal">
      <formula>"G"</formula>
    </cfRule>
    <cfRule type="cellIs" dxfId="9" priority="3" operator="equal">
      <formula>"M"</formula>
    </cfRule>
    <cfRule type="cellIs" dxfId="8" priority="4" operator="equal">
      <formula>"P"</formula>
    </cfRule>
    <cfRule type="cellIs" dxfId="7" priority="5" operator="equal">
      <formula>"PP"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3AE8-31FB-482A-A346-EF3F5746F2AC}">
  <sheetPr>
    <pageSetUpPr fitToPage="1"/>
  </sheetPr>
  <dimension ref="A1:E62"/>
  <sheetViews>
    <sheetView topLeftCell="A93" workbookViewId="0">
      <selection activeCell="J50" sqref="J50"/>
    </sheetView>
  </sheetViews>
  <sheetFormatPr defaultRowHeight="15"/>
  <cols>
    <col min="1" max="5" width="17.28515625" style="6" customWidth="1"/>
  </cols>
  <sheetData>
    <row r="1" spans="1:5" ht="27" customHeight="1">
      <c r="A1" s="6" t="s">
        <v>254</v>
      </c>
      <c r="B1" s="6" t="s">
        <v>255</v>
      </c>
      <c r="C1" s="6" t="s">
        <v>256</v>
      </c>
      <c r="D1" s="6" t="s">
        <v>257</v>
      </c>
      <c r="E1" s="6" t="s">
        <v>258</v>
      </c>
    </row>
    <row r="2" spans="1:5">
      <c r="A2" s="7">
        <v>0</v>
      </c>
      <c r="B2" s="7">
        <v>0</v>
      </c>
      <c r="C2" s="7">
        <f>SUM('Product Backlog'!H2:H74)</f>
        <v>648</v>
      </c>
      <c r="D2" s="7">
        <v>0</v>
      </c>
      <c r="E2" s="7">
        <f>SUM('Product Backlog'!H2:H74)</f>
        <v>648</v>
      </c>
    </row>
    <row r="3" spans="1:5">
      <c r="A3" s="9">
        <v>1</v>
      </c>
      <c r="B3" s="9">
        <v>11</v>
      </c>
      <c r="C3" s="9">
        <f>C2-Tabela1[[#This Row],[Meta Dia]]</f>
        <v>637</v>
      </c>
      <c r="D3" s="10">
        <v>12</v>
      </c>
      <c r="E3" s="10">
        <f>E2-Tabela1[[#This Row],[Realizado dia Real]]</f>
        <v>636</v>
      </c>
    </row>
    <row r="4" spans="1:5">
      <c r="A4" s="9">
        <v>2</v>
      </c>
      <c r="B4" s="9">
        <v>11</v>
      </c>
      <c r="C4" s="9">
        <f>C3-Tabela1[[#This Row],[Meta Dia]]</f>
        <v>626</v>
      </c>
      <c r="D4" s="10">
        <v>8</v>
      </c>
      <c r="E4" s="10">
        <f>E3-Tabela1[[#This Row],[Realizado dia Real]]</f>
        <v>628</v>
      </c>
    </row>
    <row r="5" spans="1:5">
      <c r="A5" s="9">
        <v>3</v>
      </c>
      <c r="B5" s="9">
        <v>11</v>
      </c>
      <c r="C5" s="9">
        <f>C4-Tabela1[[#This Row],[Meta Dia]]</f>
        <v>615</v>
      </c>
      <c r="D5" s="10">
        <v>9</v>
      </c>
      <c r="E5" s="10">
        <f>E4-Tabela1[[#This Row],[Realizado dia Real]]</f>
        <v>619</v>
      </c>
    </row>
    <row r="6" spans="1:5">
      <c r="A6" s="9">
        <v>4</v>
      </c>
      <c r="B6" s="9">
        <v>11</v>
      </c>
      <c r="C6" s="9">
        <f>C5-Tabela1[[#This Row],[Meta Dia]]</f>
        <v>604</v>
      </c>
      <c r="D6" s="10">
        <v>7</v>
      </c>
      <c r="E6" s="10">
        <f>E5-Tabela1[[#This Row],[Realizado dia Real]]</f>
        <v>612</v>
      </c>
    </row>
    <row r="7" spans="1:5">
      <c r="A7" s="9">
        <v>5</v>
      </c>
      <c r="B7" s="9">
        <v>11</v>
      </c>
      <c r="C7" s="9">
        <f>C6-Tabela1[[#This Row],[Meta Dia]]</f>
        <v>593</v>
      </c>
      <c r="D7" s="10">
        <v>10</v>
      </c>
      <c r="E7" s="10">
        <f>E6-Tabela1[[#This Row],[Realizado dia Real]]</f>
        <v>602</v>
      </c>
    </row>
    <row r="8" spans="1:5">
      <c r="A8" s="9">
        <v>6</v>
      </c>
      <c r="B8" s="9">
        <v>11</v>
      </c>
      <c r="C8" s="9">
        <f>C7-Tabela1[[#This Row],[Meta Dia]]</f>
        <v>582</v>
      </c>
      <c r="D8" s="10">
        <v>11</v>
      </c>
      <c r="E8" s="10">
        <f>E7-Tabela1[[#This Row],[Realizado dia Real]]</f>
        <v>591</v>
      </c>
    </row>
    <row r="9" spans="1:5">
      <c r="A9" s="9">
        <v>7</v>
      </c>
      <c r="B9" s="9">
        <v>11</v>
      </c>
      <c r="C9" s="9">
        <f>C8-Tabela1[[#This Row],[Meta Dia]]</f>
        <v>571</v>
      </c>
      <c r="D9" s="10">
        <v>6</v>
      </c>
      <c r="E9" s="10">
        <f>E8-Tabela1[[#This Row],[Realizado dia Real]]</f>
        <v>585</v>
      </c>
    </row>
    <row r="10" spans="1:5">
      <c r="A10" s="9">
        <v>8</v>
      </c>
      <c r="B10" s="9">
        <v>11</v>
      </c>
      <c r="C10" s="9">
        <f>C9-Tabela1[[#This Row],[Meta Dia]]</f>
        <v>560</v>
      </c>
      <c r="D10" s="10">
        <v>8</v>
      </c>
      <c r="E10" s="10">
        <f>E9-Tabela1[[#This Row],[Realizado dia Real]]</f>
        <v>577</v>
      </c>
    </row>
    <row r="11" spans="1:5">
      <c r="A11" s="9">
        <v>9</v>
      </c>
      <c r="B11" s="9">
        <v>11</v>
      </c>
      <c r="C11" s="9">
        <f>C10-Tabela1[[#This Row],[Meta Dia]]</f>
        <v>549</v>
      </c>
      <c r="D11" s="10">
        <v>4</v>
      </c>
      <c r="E11" s="10">
        <f>E10-Tabela1[[#This Row],[Realizado dia Real]]</f>
        <v>573</v>
      </c>
    </row>
    <row r="12" spans="1:5">
      <c r="A12" s="9">
        <v>10</v>
      </c>
      <c r="B12" s="9">
        <v>11</v>
      </c>
      <c r="C12" s="9">
        <f>C11-Tabela1[[#This Row],[Meta Dia]]</f>
        <v>538</v>
      </c>
      <c r="D12" s="10">
        <v>5</v>
      </c>
      <c r="E12" s="10">
        <f>E11-Tabela1[[#This Row],[Realizado dia Real]]</f>
        <v>568</v>
      </c>
    </row>
    <row r="13" spans="1:5">
      <c r="A13" s="9">
        <v>11</v>
      </c>
      <c r="B13" s="9">
        <v>11</v>
      </c>
      <c r="C13" s="9">
        <f>C12-Tabela1[[#This Row],[Meta Dia]]</f>
        <v>527</v>
      </c>
      <c r="D13" s="10">
        <v>15</v>
      </c>
      <c r="E13" s="10">
        <f>E12-Tabela1[[#This Row],[Realizado dia Real]]</f>
        <v>553</v>
      </c>
    </row>
    <row r="14" spans="1:5">
      <c r="A14" s="9">
        <v>12</v>
      </c>
      <c r="B14" s="9">
        <v>11</v>
      </c>
      <c r="C14" s="9">
        <f>C13-Tabela1[[#This Row],[Meta Dia]]</f>
        <v>516</v>
      </c>
      <c r="D14" s="10">
        <v>6</v>
      </c>
      <c r="E14" s="10">
        <f>E13-Tabela1[[#This Row],[Realizado dia Real]]</f>
        <v>547</v>
      </c>
    </row>
    <row r="15" spans="1:5">
      <c r="A15" s="9">
        <v>13</v>
      </c>
      <c r="B15" s="9">
        <v>11</v>
      </c>
      <c r="C15" s="9">
        <f>C14-Tabela1[[#This Row],[Meta Dia]]</f>
        <v>505</v>
      </c>
      <c r="D15" s="10">
        <v>8</v>
      </c>
      <c r="E15" s="10">
        <f>E14-Tabela1[[#This Row],[Realizado dia Real]]</f>
        <v>539</v>
      </c>
    </row>
    <row r="16" spans="1:5">
      <c r="A16" s="9">
        <v>14</v>
      </c>
      <c r="B16" s="9">
        <v>11</v>
      </c>
      <c r="C16" s="9">
        <f>C15-Tabela1[[#This Row],[Meta Dia]]</f>
        <v>494</v>
      </c>
      <c r="D16" s="10">
        <v>3.9079169819913915</v>
      </c>
      <c r="E16" s="10">
        <f>E15-Tabela1[[#This Row],[Realizado dia Real]]</f>
        <v>535.09208301800857</v>
      </c>
    </row>
    <row r="17" spans="1:5">
      <c r="A17" s="9">
        <v>15</v>
      </c>
      <c r="B17" s="9">
        <v>11</v>
      </c>
      <c r="C17" s="9">
        <f>C16-Tabela1[[#This Row],[Meta Dia]]</f>
        <v>483</v>
      </c>
      <c r="D17" s="10">
        <v>16</v>
      </c>
      <c r="E17" s="10">
        <f>E16-Tabela1[[#This Row],[Realizado dia Real]]</f>
        <v>519.09208301800857</v>
      </c>
    </row>
    <row r="18" spans="1:5">
      <c r="A18" s="9">
        <v>16</v>
      </c>
      <c r="B18" s="9">
        <v>11</v>
      </c>
      <c r="C18" s="9">
        <f>C17-Tabela1[[#This Row],[Meta Dia]]</f>
        <v>472</v>
      </c>
      <c r="D18" s="10">
        <v>16</v>
      </c>
      <c r="E18" s="10">
        <f>E17-Tabela1[[#This Row],[Realizado dia Real]]</f>
        <v>503.09208301800857</v>
      </c>
    </row>
    <row r="19" spans="1:5">
      <c r="A19" s="9">
        <v>17</v>
      </c>
      <c r="B19" s="9">
        <v>11</v>
      </c>
      <c r="C19" s="9">
        <f>C18-Tabela1[[#This Row],[Meta Dia]]</f>
        <v>461</v>
      </c>
      <c r="D19" s="10">
        <v>13</v>
      </c>
      <c r="E19" s="10">
        <f>E18-Tabela1[[#This Row],[Realizado dia Real]]</f>
        <v>490.09208301800857</v>
      </c>
    </row>
    <row r="20" spans="1:5">
      <c r="A20" s="9">
        <v>18</v>
      </c>
      <c r="B20" s="9">
        <v>11</v>
      </c>
      <c r="C20" s="9">
        <f>C19-Tabela1[[#This Row],[Meta Dia]]</f>
        <v>450</v>
      </c>
      <c r="D20" s="10">
        <v>12</v>
      </c>
      <c r="E20" s="10">
        <f>E19-Tabela1[[#This Row],[Realizado dia Real]]</f>
        <v>478.09208301800857</v>
      </c>
    </row>
    <row r="21" spans="1:5">
      <c r="A21" s="9">
        <v>19</v>
      </c>
      <c r="B21" s="9">
        <v>11</v>
      </c>
      <c r="C21" s="9">
        <f>C20-Tabela1[[#This Row],[Meta Dia]]</f>
        <v>439</v>
      </c>
      <c r="D21" s="10">
        <v>11</v>
      </c>
      <c r="E21" s="10">
        <f>E20-Tabela1[[#This Row],[Realizado dia Real]]</f>
        <v>467.09208301800857</v>
      </c>
    </row>
    <row r="22" spans="1:5">
      <c r="A22" s="9">
        <v>20</v>
      </c>
      <c r="B22" s="9">
        <v>11</v>
      </c>
      <c r="C22" s="9">
        <f>C21-Tabela1[[#This Row],[Meta Dia]]</f>
        <v>428</v>
      </c>
      <c r="D22" s="10">
        <v>10</v>
      </c>
      <c r="E22" s="10">
        <f>E21-Tabela1[[#This Row],[Realizado dia Real]]</f>
        <v>457.09208301800857</v>
      </c>
    </row>
    <row r="23" spans="1:5">
      <c r="A23" s="11">
        <v>21</v>
      </c>
      <c r="B23" s="11">
        <v>11</v>
      </c>
      <c r="C23" s="11">
        <f>C22-Tabela1[[#This Row],[Meta Dia]]</f>
        <v>417</v>
      </c>
      <c r="D23" s="12">
        <v>16</v>
      </c>
      <c r="E23" s="12">
        <f>E22-Tabela1[[#This Row],[Realizado dia Real]]</f>
        <v>441.09208301800857</v>
      </c>
    </row>
    <row r="24" spans="1:5">
      <c r="A24" s="11">
        <v>22</v>
      </c>
      <c r="B24" s="11">
        <v>11</v>
      </c>
      <c r="C24" s="11">
        <f>C23-Tabela1[[#This Row],[Meta Dia]]</f>
        <v>406</v>
      </c>
      <c r="D24" s="12">
        <v>21</v>
      </c>
      <c r="E24" s="12">
        <f>E23-Tabela1[[#This Row],[Realizado dia Real]]</f>
        <v>420.09208301800857</v>
      </c>
    </row>
    <row r="25" spans="1:5">
      <c r="A25" s="11">
        <v>23</v>
      </c>
      <c r="B25" s="11">
        <v>11</v>
      </c>
      <c r="C25" s="11">
        <f>C24-Tabela1[[#This Row],[Meta Dia]]</f>
        <v>395</v>
      </c>
      <c r="D25" s="12">
        <v>4</v>
      </c>
      <c r="E25" s="12">
        <f>E24-Tabela1[[#This Row],[Realizado dia Real]]</f>
        <v>416.09208301800857</v>
      </c>
    </row>
    <row r="26" spans="1:5">
      <c r="A26" s="11">
        <v>24</v>
      </c>
      <c r="B26" s="11">
        <v>11</v>
      </c>
      <c r="C26" s="11">
        <f>C25-Tabela1[[#This Row],[Meta Dia]]</f>
        <v>384</v>
      </c>
      <c r="D26" s="12">
        <v>6</v>
      </c>
      <c r="E26" s="12">
        <f>E25-Tabela1[[#This Row],[Realizado dia Real]]</f>
        <v>410.09208301800857</v>
      </c>
    </row>
    <row r="27" spans="1:5">
      <c r="A27" s="11">
        <v>25</v>
      </c>
      <c r="B27" s="11">
        <v>11</v>
      </c>
      <c r="C27" s="11">
        <f>C26-Tabela1[[#This Row],[Meta Dia]]</f>
        <v>373</v>
      </c>
      <c r="D27" s="12">
        <v>7</v>
      </c>
      <c r="E27" s="12">
        <f>E26-Tabela1[[#This Row],[Realizado dia Real]]</f>
        <v>403.09208301800857</v>
      </c>
    </row>
    <row r="28" spans="1:5">
      <c r="A28" s="11">
        <v>26</v>
      </c>
      <c r="B28" s="11">
        <v>11</v>
      </c>
      <c r="C28" s="11">
        <f>C27-Tabela1[[#This Row],[Meta Dia]]</f>
        <v>362</v>
      </c>
      <c r="D28" s="12">
        <v>15</v>
      </c>
      <c r="E28" s="12">
        <f>E27-Tabela1[[#This Row],[Realizado dia Real]]</f>
        <v>388.09208301800857</v>
      </c>
    </row>
    <row r="29" spans="1:5">
      <c r="A29" s="11">
        <v>27</v>
      </c>
      <c r="B29" s="11">
        <v>11</v>
      </c>
      <c r="C29" s="11">
        <f>C28-Tabela1[[#This Row],[Meta Dia]]</f>
        <v>351</v>
      </c>
      <c r="D29" s="12">
        <v>4</v>
      </c>
      <c r="E29" s="12">
        <f>E28-Tabela1[[#This Row],[Realizado dia Real]]</f>
        <v>384.09208301800857</v>
      </c>
    </row>
    <row r="30" spans="1:5">
      <c r="A30" s="11">
        <v>28</v>
      </c>
      <c r="B30" s="11">
        <v>11</v>
      </c>
      <c r="C30" s="11">
        <f>C29-Tabela1[[#This Row],[Meta Dia]]</f>
        <v>340</v>
      </c>
      <c r="D30" s="12">
        <v>1.9789118540456263</v>
      </c>
      <c r="E30" s="12">
        <f>E29-Tabela1[[#This Row],[Realizado dia Real]]</f>
        <v>382.11317116396293</v>
      </c>
    </row>
    <row r="31" spans="1:5">
      <c r="A31" s="11">
        <v>29</v>
      </c>
      <c r="B31" s="11">
        <v>11</v>
      </c>
      <c r="C31" s="11">
        <f>C30-Tabela1[[#This Row],[Meta Dia]]</f>
        <v>329</v>
      </c>
      <c r="D31" s="12">
        <v>21</v>
      </c>
      <c r="E31" s="12">
        <f>E30-Tabela1[[#This Row],[Realizado dia Real]]</f>
        <v>361.11317116396293</v>
      </c>
    </row>
    <row r="32" spans="1:5">
      <c r="A32" s="11">
        <v>30</v>
      </c>
      <c r="B32" s="11">
        <v>11</v>
      </c>
      <c r="C32" s="11">
        <f>C31-Tabela1[[#This Row],[Meta Dia]]</f>
        <v>318</v>
      </c>
      <c r="D32" s="12">
        <v>25</v>
      </c>
      <c r="E32" s="12">
        <f>E31-Tabela1[[#This Row],[Realizado dia Real]]</f>
        <v>336.11317116396293</v>
      </c>
    </row>
    <row r="33" spans="1:5">
      <c r="A33" s="11">
        <v>31</v>
      </c>
      <c r="B33" s="11">
        <v>11</v>
      </c>
      <c r="C33" s="11">
        <f>C32-Tabela1[[#This Row],[Meta Dia]]</f>
        <v>307</v>
      </c>
      <c r="D33" s="12">
        <v>8</v>
      </c>
      <c r="E33" s="12">
        <f>E32-Tabela1[[#This Row],[Realizado dia Real]]</f>
        <v>328.11317116396293</v>
      </c>
    </row>
    <row r="34" spans="1:5">
      <c r="A34" s="11">
        <v>32</v>
      </c>
      <c r="B34" s="11">
        <v>11</v>
      </c>
      <c r="C34" s="11">
        <f>C33-Tabela1[[#This Row],[Meta Dia]]</f>
        <v>296</v>
      </c>
      <c r="D34" s="12">
        <v>8</v>
      </c>
      <c r="E34" s="12">
        <f>E33-Tabela1[[#This Row],[Realizado dia Real]]</f>
        <v>320.11317116396293</v>
      </c>
    </row>
    <row r="35" spans="1:5">
      <c r="A35" s="11">
        <v>33</v>
      </c>
      <c r="B35" s="11">
        <v>11</v>
      </c>
      <c r="C35" s="11">
        <f>C34-Tabela1[[#This Row],[Meta Dia]]</f>
        <v>285</v>
      </c>
      <c r="D35" s="12">
        <v>9</v>
      </c>
      <c r="E35" s="12">
        <f>E34-Tabela1[[#This Row],[Realizado dia Real]]</f>
        <v>311.11317116396293</v>
      </c>
    </row>
    <row r="36" spans="1:5">
      <c r="A36" s="11">
        <v>34</v>
      </c>
      <c r="B36" s="11">
        <v>11</v>
      </c>
      <c r="C36" s="11">
        <f>C35-Tabela1[[#This Row],[Meta Dia]]</f>
        <v>274</v>
      </c>
      <c r="D36" s="12">
        <v>8.7226900610532478</v>
      </c>
      <c r="E36" s="12">
        <f>E35-Tabela1[[#This Row],[Realizado dia Real]]</f>
        <v>302.39048110290969</v>
      </c>
    </row>
    <row r="37" spans="1:5">
      <c r="A37" s="11">
        <v>35</v>
      </c>
      <c r="B37" s="11">
        <v>11</v>
      </c>
      <c r="C37" s="11">
        <f>C36-Tabela1[[#This Row],[Meta Dia]]</f>
        <v>263</v>
      </c>
      <c r="D37" s="12">
        <v>12</v>
      </c>
      <c r="E37" s="12">
        <f>E36-Tabela1[[#This Row],[Realizado dia Real]]</f>
        <v>290.39048110290969</v>
      </c>
    </row>
    <row r="38" spans="1:5">
      <c r="A38" s="11">
        <v>36</v>
      </c>
      <c r="B38" s="11">
        <v>11</v>
      </c>
      <c r="C38" s="11">
        <f>C37-Tabela1[[#This Row],[Meta Dia]]</f>
        <v>252</v>
      </c>
      <c r="D38" s="12">
        <v>9</v>
      </c>
      <c r="E38" s="12">
        <f>E37-Tabela1[[#This Row],[Realizado dia Real]]</f>
        <v>281.39048110290969</v>
      </c>
    </row>
    <row r="39" spans="1:5">
      <c r="A39" s="11">
        <v>37</v>
      </c>
      <c r="B39" s="11">
        <v>11</v>
      </c>
      <c r="C39" s="11">
        <f>C38-Tabela1[[#This Row],[Meta Dia]]</f>
        <v>241</v>
      </c>
      <c r="D39" s="12">
        <v>5</v>
      </c>
      <c r="E39" s="12">
        <f>E38-Tabela1[[#This Row],[Realizado dia Real]]</f>
        <v>276.39048110290969</v>
      </c>
    </row>
    <row r="40" spans="1:5">
      <c r="A40" s="11">
        <v>38</v>
      </c>
      <c r="B40" s="11">
        <v>11</v>
      </c>
      <c r="C40" s="11">
        <f>C39-Tabela1[[#This Row],[Meta Dia]]</f>
        <v>230</v>
      </c>
      <c r="D40" s="12">
        <v>9.0697362330513105</v>
      </c>
      <c r="E40" s="12">
        <f>E39-Tabela1[[#This Row],[Realizado dia Real]]</f>
        <v>267.3207448698584</v>
      </c>
    </row>
    <row r="41" spans="1:5">
      <c r="A41" s="11">
        <v>39</v>
      </c>
      <c r="B41" s="11">
        <v>11</v>
      </c>
      <c r="C41" s="11">
        <f>C40-Tabela1[[#This Row],[Meta Dia]]</f>
        <v>219</v>
      </c>
      <c r="D41" s="12">
        <v>13</v>
      </c>
      <c r="E41" s="12">
        <f>E40-Tabela1[[#This Row],[Realizado dia Real]]</f>
        <v>254.3207448698584</v>
      </c>
    </row>
    <row r="42" spans="1:5">
      <c r="A42" s="11">
        <v>40</v>
      </c>
      <c r="B42" s="11">
        <v>11</v>
      </c>
      <c r="C42" s="11">
        <f>C41-Tabela1[[#This Row],[Meta Dia]]</f>
        <v>208</v>
      </c>
      <c r="D42" s="12">
        <v>12</v>
      </c>
      <c r="E42" s="12">
        <f>E41-Tabela1[[#This Row],[Realizado dia Real]]</f>
        <v>242.3207448698584</v>
      </c>
    </row>
    <row r="43" spans="1:5">
      <c r="A43" s="11">
        <v>41</v>
      </c>
      <c r="B43" s="11">
        <v>11</v>
      </c>
      <c r="C43" s="11">
        <f>C42-Tabela1[[#This Row],[Meta Dia]]</f>
        <v>197</v>
      </c>
      <c r="D43" s="12">
        <v>12</v>
      </c>
      <c r="E43" s="12">
        <f>E42-Tabela1[[#This Row],[Realizado dia Real]]</f>
        <v>230.3207448698584</v>
      </c>
    </row>
    <row r="44" spans="1:5">
      <c r="A44" s="13">
        <v>42</v>
      </c>
      <c r="B44" s="13">
        <v>11</v>
      </c>
      <c r="C44" s="13">
        <f>C43-Tabela1[[#This Row],[Meta Dia]]</f>
        <v>186</v>
      </c>
      <c r="D44" s="14">
        <v>16</v>
      </c>
      <c r="E44" s="14">
        <f>E43-Tabela1[[#This Row],[Realizado dia Real]]</f>
        <v>214.3207448698584</v>
      </c>
    </row>
    <row r="45" spans="1:5">
      <c r="A45" s="13">
        <v>43</v>
      </c>
      <c r="B45" s="13">
        <v>11</v>
      </c>
      <c r="C45" s="13">
        <f>C44-Tabela1[[#This Row],[Meta Dia]]</f>
        <v>175</v>
      </c>
      <c r="D45" s="14">
        <v>16</v>
      </c>
      <c r="E45" s="14">
        <f>E44-Tabela1[[#This Row],[Realizado dia Real]]</f>
        <v>198.3207448698584</v>
      </c>
    </row>
    <row r="46" spans="1:5">
      <c r="A46" s="13">
        <v>44</v>
      </c>
      <c r="B46" s="13">
        <v>11</v>
      </c>
      <c r="C46" s="13">
        <f>C45-Tabela1[[#This Row],[Meta Dia]]</f>
        <v>164</v>
      </c>
      <c r="D46" s="14">
        <v>15</v>
      </c>
      <c r="E46" s="14">
        <f>E45-Tabela1[[#This Row],[Realizado dia Real]]</f>
        <v>183.3207448698584</v>
      </c>
    </row>
    <row r="47" spans="1:5">
      <c r="A47" s="13">
        <v>45</v>
      </c>
      <c r="B47" s="13">
        <v>11</v>
      </c>
      <c r="C47" s="13">
        <f>C46-Tabela1[[#This Row],[Meta Dia]]</f>
        <v>153</v>
      </c>
      <c r="D47" s="14">
        <v>13</v>
      </c>
      <c r="E47" s="14">
        <f>E46-Tabela1[[#This Row],[Realizado dia Real]]</f>
        <v>170.3207448698584</v>
      </c>
    </row>
    <row r="48" spans="1:5">
      <c r="A48" s="13">
        <v>46</v>
      </c>
      <c r="B48" s="13">
        <v>11</v>
      </c>
      <c r="C48" s="13">
        <f>C47-Tabela1[[#This Row],[Meta Dia]]</f>
        <v>142</v>
      </c>
      <c r="D48" s="14">
        <v>12</v>
      </c>
      <c r="E48" s="14">
        <f>E47-Tabela1[[#This Row],[Realizado dia Real]]</f>
        <v>158.3207448698584</v>
      </c>
    </row>
    <row r="49" spans="1:5">
      <c r="A49" s="13">
        <v>47</v>
      </c>
      <c r="B49" s="13">
        <v>11</v>
      </c>
      <c r="C49" s="13">
        <f>C48-Tabela1[[#This Row],[Meta Dia]]</f>
        <v>131</v>
      </c>
      <c r="D49" s="14">
        <v>8</v>
      </c>
      <c r="E49" s="14">
        <f>E48-Tabela1[[#This Row],[Realizado dia Real]]</f>
        <v>150.3207448698584</v>
      </c>
    </row>
    <row r="50" spans="1:5">
      <c r="A50" s="13">
        <v>48</v>
      </c>
      <c r="B50" s="13">
        <v>11</v>
      </c>
      <c r="C50" s="13">
        <f>C49-Tabela1[[#This Row],[Meta Dia]]</f>
        <v>120</v>
      </c>
      <c r="D50" s="14">
        <v>16</v>
      </c>
      <c r="E50" s="14">
        <f>E49-Tabela1[[#This Row],[Realizado dia Real]]</f>
        <v>134.3207448698584</v>
      </c>
    </row>
    <row r="51" spans="1:5">
      <c r="A51" s="13">
        <v>49</v>
      </c>
      <c r="B51" s="13">
        <v>11</v>
      </c>
      <c r="C51" s="13">
        <f>C50-Tabela1[[#This Row],[Meta Dia]]</f>
        <v>109</v>
      </c>
      <c r="D51" s="14">
        <v>22</v>
      </c>
      <c r="E51" s="14">
        <f>E50-Tabela1[[#This Row],[Realizado dia Real]]</f>
        <v>112.3207448698584</v>
      </c>
    </row>
    <row r="52" spans="1:5">
      <c r="A52" s="13">
        <v>50</v>
      </c>
      <c r="B52" s="13">
        <v>11</v>
      </c>
      <c r="C52" s="13">
        <f>C51-Tabela1[[#This Row],[Meta Dia]]</f>
        <v>98</v>
      </c>
      <c r="D52" s="14">
        <v>16</v>
      </c>
      <c r="E52" s="14">
        <f>E51-Tabela1[[#This Row],[Realizado dia Real]]</f>
        <v>96.320744869858402</v>
      </c>
    </row>
    <row r="53" spans="1:5">
      <c r="A53" s="13">
        <v>51</v>
      </c>
      <c r="B53" s="13">
        <v>11</v>
      </c>
      <c r="C53" s="13">
        <f>C52-Tabela1[[#This Row],[Meta Dia]]</f>
        <v>87</v>
      </c>
      <c r="D53" s="14">
        <v>8</v>
      </c>
      <c r="E53" s="14">
        <f>E52-Tabela1[[#This Row],[Realizado dia Real]]</f>
        <v>88.320744869858402</v>
      </c>
    </row>
    <row r="54" spans="1:5">
      <c r="A54" s="13">
        <v>52</v>
      </c>
      <c r="B54" s="13">
        <v>11</v>
      </c>
      <c r="C54" s="13">
        <f>C53-Tabela1[[#This Row],[Meta Dia]]</f>
        <v>76</v>
      </c>
      <c r="D54" s="14">
        <v>16</v>
      </c>
      <c r="E54" s="14">
        <f>E53-Tabela1[[#This Row],[Realizado dia Real]]</f>
        <v>72.320744869858402</v>
      </c>
    </row>
    <row r="55" spans="1:5">
      <c r="A55" s="13">
        <v>53</v>
      </c>
      <c r="B55" s="13">
        <v>11</v>
      </c>
      <c r="C55" s="13">
        <f>C54-Tabela1[[#This Row],[Meta Dia]]</f>
        <v>65</v>
      </c>
      <c r="D55" s="14">
        <v>13</v>
      </c>
      <c r="E55" s="14">
        <f>E54-Tabela1[[#This Row],[Realizado dia Real]]</f>
        <v>59.320744869858402</v>
      </c>
    </row>
    <row r="56" spans="1:5">
      <c r="A56" s="13">
        <v>54</v>
      </c>
      <c r="B56" s="13">
        <v>11</v>
      </c>
      <c r="C56" s="13">
        <f>C55-Tabela1[[#This Row],[Meta Dia]]</f>
        <v>54</v>
      </c>
      <c r="D56" s="14">
        <v>14</v>
      </c>
      <c r="E56" s="14">
        <f>E55-Tabela1[[#This Row],[Realizado dia Real]]</f>
        <v>45.320744869858402</v>
      </c>
    </row>
    <row r="57" spans="1:5">
      <c r="A57" s="13">
        <v>55</v>
      </c>
      <c r="B57" s="13">
        <v>11</v>
      </c>
      <c r="C57" s="13">
        <f>C56-Tabela1[[#This Row],[Meta Dia]]</f>
        <v>43</v>
      </c>
      <c r="D57" s="14">
        <v>10</v>
      </c>
      <c r="E57" s="14">
        <f>E56-Tabela1[[#This Row],[Realizado dia Real]]</f>
        <v>35.320744869858402</v>
      </c>
    </row>
    <row r="58" spans="1:5">
      <c r="A58" s="13">
        <v>56</v>
      </c>
      <c r="B58" s="13">
        <v>11</v>
      </c>
      <c r="C58" s="13">
        <f>C57-Tabela1[[#This Row],[Meta Dia]]</f>
        <v>32</v>
      </c>
      <c r="D58" s="14">
        <v>13</v>
      </c>
      <c r="E58" s="14">
        <f>E57-Tabela1[[#This Row],[Realizado dia Real]]</f>
        <v>22.320744869858402</v>
      </c>
    </row>
    <row r="59" spans="1:5">
      <c r="A59" s="13">
        <v>57</v>
      </c>
      <c r="B59" s="13">
        <v>11</v>
      </c>
      <c r="C59" s="13">
        <f>C58-Tabela1[[#This Row],[Meta Dia]]</f>
        <v>21</v>
      </c>
      <c r="D59" s="14">
        <v>3</v>
      </c>
      <c r="E59" s="14">
        <f>E58-Tabela1[[#This Row],[Realizado dia Real]]</f>
        <v>19.320744869858402</v>
      </c>
    </row>
    <row r="60" spans="1:5">
      <c r="A60" s="13">
        <v>58</v>
      </c>
      <c r="B60" s="13">
        <v>11</v>
      </c>
      <c r="C60" s="13">
        <f>C59-Tabela1[[#This Row],[Meta Dia]]</f>
        <v>10</v>
      </c>
      <c r="D60" s="14">
        <v>7</v>
      </c>
      <c r="E60" s="14">
        <f>E59-Tabela1[[#This Row],[Realizado dia Real]]</f>
        <v>12.320744869858402</v>
      </c>
    </row>
    <row r="61" spans="1:5">
      <c r="A61" s="13">
        <v>59</v>
      </c>
      <c r="B61" s="13">
        <v>10</v>
      </c>
      <c r="C61" s="13">
        <f>C60-Tabela1[[#This Row],[Meta Dia]]</f>
        <v>0</v>
      </c>
      <c r="D61" s="14">
        <v>6</v>
      </c>
      <c r="E61" s="14">
        <f>E60-Tabela1[[#This Row],[Realizado dia Real]]</f>
        <v>6.3207448698584017</v>
      </c>
    </row>
    <row r="62" spans="1:5">
      <c r="A62" s="13">
        <v>60</v>
      </c>
      <c r="B62" s="13"/>
      <c r="C62" s="13"/>
      <c r="D62" s="14">
        <v>6</v>
      </c>
      <c r="E62" s="14">
        <f>E61-Tabela1[[#This Row],[Realizado dia Real]]</f>
        <v>0.32074486985840167</v>
      </c>
    </row>
  </sheetData>
  <pageMargins left="0.7" right="0.7" top="0.75" bottom="0.75" header="0.3" footer="0.3"/>
  <pageSetup paperSize="9" fitToHeight="0" orientation="portrait"/>
  <ignoredErrors>
    <ignoredError sqref="E3:E62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KAUÊ DE OLIVEIRA SILVA</cp:lastModifiedBy>
  <cp:revision/>
  <dcterms:created xsi:type="dcterms:W3CDTF">2026-04-01T23:24:10Z</dcterms:created>
  <dcterms:modified xsi:type="dcterms:W3CDTF">2026-04-22T16:34:17Z</dcterms:modified>
  <cp:category/>
  <cp:contentStatus/>
</cp:coreProperties>
</file>